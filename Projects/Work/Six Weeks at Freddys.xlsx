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netid-my.sharepoint.com/personal/ebonyl_uw_edu/Documents/EbonyLopez/Projects/Work/"/>
    </mc:Choice>
  </mc:AlternateContent>
  <xr:revisionPtr revIDLastSave="1" documentId="13_ncr:1_{7FED70B9-06A9-4D52-BC8F-68053E92CBAC}" xr6:coauthVersionLast="47" xr6:coauthVersionMax="47" xr10:uidLastSave="{E87DFE27-A85F-4F44-B9BE-56373CCC57F5}"/>
  <bookViews>
    <workbookView xWindow="-108" yWindow="-108" windowWidth="23256" windowHeight="12456" activeTab="5" xr2:uid="{00000000-000D-0000-FFFF-FFFF00000000}"/>
  </bookViews>
  <sheets>
    <sheet name="Week 1" sheetId="1" r:id="rId1"/>
    <sheet name="Week 2" sheetId="3" r:id="rId2"/>
    <sheet name="Week 3" sheetId="4" r:id="rId3"/>
    <sheet name="Week 4" sheetId="5" r:id="rId4"/>
    <sheet name="Week 5" sheetId="6" r:id="rId5"/>
    <sheet name="Week 6" sheetId="7" r:id="rId6"/>
  </sheets>
  <definedNames>
    <definedName name="_xlnm._FilterDatabase" localSheetId="3" hidden="1">'Week 4'!$L$1:$L$78</definedName>
    <definedName name="_xlnm._FilterDatabase" localSheetId="4" hidden="1">'Week 5'!$L$1:$L$78</definedName>
    <definedName name="_xlnm._FilterDatabase" localSheetId="5" hidden="1">'Week 6'!$L$1:$L$78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77" i="7" l="1"/>
  <c r="AC76" i="7"/>
  <c r="AC75" i="7"/>
  <c r="Z75" i="7"/>
  <c r="Y75" i="7"/>
  <c r="X75" i="7"/>
  <c r="AD77" i="7" s="1"/>
  <c r="AC74" i="7"/>
  <c r="Z74" i="7"/>
  <c r="Y74" i="7"/>
  <c r="X74" i="7"/>
  <c r="AC73" i="7"/>
  <c r="Z73" i="7"/>
  <c r="Y73" i="7"/>
  <c r="X73" i="7"/>
  <c r="AC72" i="7"/>
  <c r="AD72" i="7" s="1"/>
  <c r="Z72" i="7"/>
  <c r="Y72" i="7"/>
  <c r="X72" i="7"/>
  <c r="AD74" i="7" s="1"/>
  <c r="AC71" i="7"/>
  <c r="Z71" i="7"/>
  <c r="Y71" i="7"/>
  <c r="X71" i="7"/>
  <c r="AC70" i="7"/>
  <c r="Z70" i="7"/>
  <c r="Y70" i="7"/>
  <c r="X70" i="7"/>
  <c r="AC69" i="7"/>
  <c r="Z69" i="7"/>
  <c r="Y69" i="7"/>
  <c r="X69" i="7"/>
  <c r="AC68" i="7"/>
  <c r="Z68" i="7"/>
  <c r="Y68" i="7"/>
  <c r="X68" i="7"/>
  <c r="Z67" i="7"/>
  <c r="Y67" i="7"/>
  <c r="X67" i="7"/>
  <c r="AC65" i="7"/>
  <c r="AC64" i="7"/>
  <c r="AC63" i="7"/>
  <c r="AC62" i="7"/>
  <c r="Z62" i="7"/>
  <c r="Y62" i="7"/>
  <c r="X62" i="7"/>
  <c r="AC61" i="7"/>
  <c r="Z61" i="7"/>
  <c r="Y61" i="7"/>
  <c r="X61" i="7"/>
  <c r="AC60" i="7"/>
  <c r="Z60" i="7"/>
  <c r="Y60" i="7"/>
  <c r="X60" i="7"/>
  <c r="AC59" i="7"/>
  <c r="AD59" i="7" s="1"/>
  <c r="Z59" i="7"/>
  <c r="Y59" i="7"/>
  <c r="X59" i="7"/>
  <c r="AC58" i="7"/>
  <c r="Z58" i="7"/>
  <c r="Y58" i="7"/>
  <c r="X58" i="7"/>
  <c r="AC57" i="7"/>
  <c r="Z57" i="7"/>
  <c r="Y57" i="7"/>
  <c r="X57" i="7"/>
  <c r="AC56" i="7"/>
  <c r="Z56" i="7"/>
  <c r="Y56" i="7"/>
  <c r="X56" i="7"/>
  <c r="Z55" i="7"/>
  <c r="Y55" i="7"/>
  <c r="X55" i="7"/>
  <c r="Z54" i="7"/>
  <c r="Y54" i="7"/>
  <c r="X54" i="7"/>
  <c r="AC53" i="7"/>
  <c r="Z53" i="7"/>
  <c r="Y53" i="7"/>
  <c r="X53" i="7"/>
  <c r="AC52" i="7"/>
  <c r="AC51" i="7"/>
  <c r="AC50" i="7"/>
  <c r="AC49" i="7"/>
  <c r="AC48" i="7"/>
  <c r="Z48" i="7"/>
  <c r="Y48" i="7"/>
  <c r="X48" i="7"/>
  <c r="AC47" i="7"/>
  <c r="Z47" i="7"/>
  <c r="Y47" i="7"/>
  <c r="X47" i="7"/>
  <c r="AC46" i="7"/>
  <c r="Z46" i="7"/>
  <c r="Y46" i="7"/>
  <c r="X46" i="7"/>
  <c r="AC45" i="7"/>
  <c r="Z45" i="7"/>
  <c r="Y45" i="7"/>
  <c r="X45" i="7"/>
  <c r="AC44" i="7"/>
  <c r="Z44" i="7"/>
  <c r="Y44" i="7"/>
  <c r="X44" i="7"/>
  <c r="AC43" i="7"/>
  <c r="Z43" i="7"/>
  <c r="Y43" i="7"/>
  <c r="X43" i="7"/>
  <c r="Z42" i="7"/>
  <c r="Y42" i="7"/>
  <c r="X42" i="7"/>
  <c r="Z41" i="7"/>
  <c r="Y41" i="7"/>
  <c r="X41" i="7"/>
  <c r="AC40" i="7"/>
  <c r="Z40" i="7"/>
  <c r="Y40" i="7"/>
  <c r="X40" i="7"/>
  <c r="AD45" i="7" s="1"/>
  <c r="AC39" i="7"/>
  <c r="Z39" i="7"/>
  <c r="Y39" i="7"/>
  <c r="X39" i="7"/>
  <c r="AC38" i="7"/>
  <c r="AC37" i="7"/>
  <c r="AC36" i="7"/>
  <c r="AG35" i="7"/>
  <c r="AC35" i="7"/>
  <c r="AG34" i="7"/>
  <c r="AC34" i="7"/>
  <c r="Z34" i="7"/>
  <c r="Y34" i="7"/>
  <c r="X34" i="7"/>
  <c r="AG33" i="7"/>
  <c r="AC33" i="7"/>
  <c r="Z33" i="7"/>
  <c r="Y33" i="7"/>
  <c r="X33" i="7"/>
  <c r="AD39" i="7" s="1"/>
  <c r="AG32" i="7"/>
  <c r="AC32" i="7"/>
  <c r="Z32" i="7"/>
  <c r="Y32" i="7"/>
  <c r="X32" i="7"/>
  <c r="AG31" i="7"/>
  <c r="AC31" i="7"/>
  <c r="Z31" i="7"/>
  <c r="Y31" i="7"/>
  <c r="X31" i="7"/>
  <c r="AC30" i="7"/>
  <c r="Z30" i="7"/>
  <c r="Y30" i="7"/>
  <c r="X30" i="7"/>
  <c r="Z29" i="7"/>
  <c r="Y29" i="7"/>
  <c r="X29" i="7"/>
  <c r="AD35" i="7" s="1"/>
  <c r="Z28" i="7"/>
  <c r="Y28" i="7"/>
  <c r="X28" i="7"/>
  <c r="AG27" i="7"/>
  <c r="AC27" i="7"/>
  <c r="Z27" i="7"/>
  <c r="Y27" i="7"/>
  <c r="X27" i="7"/>
  <c r="AG26" i="7"/>
  <c r="AC26" i="7"/>
  <c r="Z26" i="7"/>
  <c r="Y26" i="7"/>
  <c r="X26" i="7"/>
  <c r="AG25" i="7"/>
  <c r="AC25" i="7"/>
  <c r="Z25" i="7"/>
  <c r="Y25" i="7"/>
  <c r="X25" i="7"/>
  <c r="AG24" i="7"/>
  <c r="AC24" i="7"/>
  <c r="AG23" i="7"/>
  <c r="AC23" i="7"/>
  <c r="AC22" i="7"/>
  <c r="AC21" i="7"/>
  <c r="AC20" i="7"/>
  <c r="Z20" i="7"/>
  <c r="Y20" i="7"/>
  <c r="X20" i="7"/>
  <c r="AC19" i="7"/>
  <c r="Z19" i="7"/>
  <c r="Y19" i="7"/>
  <c r="X19" i="7"/>
  <c r="AG18" i="7"/>
  <c r="AC18" i="7"/>
  <c r="AD18" i="7" s="1"/>
  <c r="Z18" i="7"/>
  <c r="Y18" i="7"/>
  <c r="X18" i="7"/>
  <c r="AG17" i="7"/>
  <c r="AC17" i="7"/>
  <c r="Z17" i="7"/>
  <c r="Y17" i="7"/>
  <c r="X17" i="7"/>
  <c r="AG16" i="7"/>
  <c r="Z16" i="7"/>
  <c r="Y16" i="7"/>
  <c r="X16" i="7"/>
  <c r="AG15" i="7"/>
  <c r="Z15" i="7"/>
  <c r="Y15" i="7"/>
  <c r="X15" i="7"/>
  <c r="AG14" i="7"/>
  <c r="Z14" i="7"/>
  <c r="Y14" i="7"/>
  <c r="X14" i="7"/>
  <c r="AK13" i="7"/>
  <c r="AE13" i="7"/>
  <c r="AD13" i="7"/>
  <c r="AD65" i="7" s="1"/>
  <c r="Z13" i="7"/>
  <c r="Y13" i="7"/>
  <c r="X13" i="7"/>
  <c r="AD20" i="7" s="1"/>
  <c r="AK12" i="7"/>
  <c r="AC12" i="7"/>
  <c r="Z12" i="7"/>
  <c r="Y12" i="7"/>
  <c r="X12" i="7"/>
  <c r="AK11" i="7"/>
  <c r="AC11" i="7"/>
  <c r="Z11" i="7"/>
  <c r="Y11" i="7"/>
  <c r="X11" i="7"/>
  <c r="AK10" i="7"/>
  <c r="AC10" i="7"/>
  <c r="AK9" i="7"/>
  <c r="AC9" i="7"/>
  <c r="AC8" i="7"/>
  <c r="AD44" i="7" l="1"/>
  <c r="AE11" i="7"/>
  <c r="AD53" i="7"/>
  <c r="AD19" i="7"/>
  <c r="AD28" i="7" s="1"/>
  <c r="AM9" i="7" s="1"/>
  <c r="AD48" i="7"/>
  <c r="AD27" i="7"/>
  <c r="AD60" i="7"/>
  <c r="AD23" i="7"/>
  <c r="AD75" i="7"/>
  <c r="AD52" i="7"/>
  <c r="AD47" i="7"/>
  <c r="AD71" i="7"/>
  <c r="AE12" i="7"/>
  <c r="AD34" i="7"/>
  <c r="AD21" i="7"/>
  <c r="Z8" i="7"/>
  <c r="AD8" i="7" s="1"/>
  <c r="AD37" i="7"/>
  <c r="AD73" i="7"/>
  <c r="AD38" i="7"/>
  <c r="Z50" i="7"/>
  <c r="AD11" i="7" s="1"/>
  <c r="AD69" i="7"/>
  <c r="AE8" i="7"/>
  <c r="AD64" i="7"/>
  <c r="AD32" i="7"/>
  <c r="AE10" i="7"/>
  <c r="AD61" i="7"/>
  <c r="AD57" i="7"/>
  <c r="Z36" i="7"/>
  <c r="AD10" i="7" s="1"/>
  <c r="AD33" i="7"/>
  <c r="AD40" i="7"/>
  <c r="AD76" i="7"/>
  <c r="AD58" i="7"/>
  <c r="AD46" i="7"/>
  <c r="Z64" i="7"/>
  <c r="AD12" i="7" s="1"/>
  <c r="AD36" i="7"/>
  <c r="AD24" i="7"/>
  <c r="AD49" i="7"/>
  <c r="AD31" i="7"/>
  <c r="AD51" i="7"/>
  <c r="Z22" i="7"/>
  <c r="AD9" i="7" s="1"/>
  <c r="AD50" i="7"/>
  <c r="AD62" i="7"/>
  <c r="AD26" i="7"/>
  <c r="AD25" i="7"/>
  <c r="AD22" i="7"/>
  <c r="AE9" i="7"/>
  <c r="AD63" i="7"/>
  <c r="AD70" i="7"/>
  <c r="AE13" i="6"/>
  <c r="Z68" i="6"/>
  <c r="Z69" i="6"/>
  <c r="Z70" i="6"/>
  <c r="Z71" i="6"/>
  <c r="Z72" i="6"/>
  <c r="Z73" i="6"/>
  <c r="Z74" i="6"/>
  <c r="Z75" i="6"/>
  <c r="Z67" i="6"/>
  <c r="Y68" i="6"/>
  <c r="Y69" i="6"/>
  <c r="Y70" i="6"/>
  <c r="Y71" i="6"/>
  <c r="Y72" i="6"/>
  <c r="Y73" i="6"/>
  <c r="Y74" i="6"/>
  <c r="Y75" i="6"/>
  <c r="Y67" i="6"/>
  <c r="X68" i="6"/>
  <c r="X69" i="6"/>
  <c r="X70" i="6"/>
  <c r="X71" i="6"/>
  <c r="X72" i="6"/>
  <c r="X73" i="6"/>
  <c r="X74" i="6"/>
  <c r="X75" i="6"/>
  <c r="X67" i="6"/>
  <c r="Z54" i="6"/>
  <c r="Z55" i="6"/>
  <c r="Z56" i="6"/>
  <c r="Z57" i="6"/>
  <c r="Z58" i="6"/>
  <c r="Z59" i="6"/>
  <c r="Z60" i="6"/>
  <c r="Z61" i="6"/>
  <c r="Z62" i="6"/>
  <c r="Z53" i="6"/>
  <c r="Y54" i="6"/>
  <c r="Y55" i="6"/>
  <c r="Y56" i="6"/>
  <c r="Y57" i="6"/>
  <c r="Y58" i="6"/>
  <c r="Y59" i="6"/>
  <c r="Y60" i="6"/>
  <c r="Y61" i="6"/>
  <c r="Y62" i="6"/>
  <c r="Y53" i="6"/>
  <c r="X54" i="6"/>
  <c r="X55" i="6"/>
  <c r="X56" i="6"/>
  <c r="X57" i="6"/>
  <c r="X58" i="6"/>
  <c r="X59" i="6"/>
  <c r="X60" i="6"/>
  <c r="X61" i="6"/>
  <c r="X62" i="6"/>
  <c r="X53" i="6"/>
  <c r="Z40" i="6"/>
  <c r="Z41" i="6"/>
  <c r="Z42" i="6"/>
  <c r="Z43" i="6"/>
  <c r="Z44" i="6"/>
  <c r="Z45" i="6"/>
  <c r="Z46" i="6"/>
  <c r="Z47" i="6"/>
  <c r="Z48" i="6"/>
  <c r="Z39" i="6"/>
  <c r="Y40" i="6"/>
  <c r="Y41" i="6"/>
  <c r="Y42" i="6"/>
  <c r="Y43" i="6"/>
  <c r="Y44" i="6"/>
  <c r="Y45" i="6"/>
  <c r="Y46" i="6"/>
  <c r="Y47" i="6"/>
  <c r="Y48" i="6"/>
  <c r="Y39" i="6"/>
  <c r="X40" i="6"/>
  <c r="X41" i="6"/>
  <c r="X42" i="6"/>
  <c r="X43" i="6"/>
  <c r="X44" i="6"/>
  <c r="X45" i="6"/>
  <c r="X46" i="6"/>
  <c r="X47" i="6"/>
  <c r="X48" i="6"/>
  <c r="X39" i="6"/>
  <c r="Z26" i="6"/>
  <c r="Z27" i="6"/>
  <c r="Z28" i="6"/>
  <c r="Z29" i="6"/>
  <c r="Z30" i="6"/>
  <c r="Z31" i="6"/>
  <c r="Z32" i="6"/>
  <c r="Z33" i="6"/>
  <c r="Z34" i="6"/>
  <c r="Z25" i="6"/>
  <c r="Y26" i="6"/>
  <c r="Y27" i="6"/>
  <c r="Y28" i="6"/>
  <c r="Y29" i="6"/>
  <c r="Y30" i="6"/>
  <c r="Y31" i="6"/>
  <c r="Y32" i="6"/>
  <c r="Y33" i="6"/>
  <c r="Y34" i="6"/>
  <c r="Y25" i="6"/>
  <c r="X26" i="6"/>
  <c r="X27" i="6"/>
  <c r="X28" i="6"/>
  <c r="X29" i="6"/>
  <c r="X30" i="6"/>
  <c r="X31" i="6"/>
  <c r="X32" i="6"/>
  <c r="X33" i="6"/>
  <c r="X34" i="6"/>
  <c r="X25" i="6"/>
  <c r="Z12" i="6"/>
  <c r="Z13" i="6"/>
  <c r="Z14" i="6"/>
  <c r="Z15" i="6"/>
  <c r="Z16" i="6"/>
  <c r="Z17" i="6"/>
  <c r="Z18" i="6"/>
  <c r="Z19" i="6"/>
  <c r="Z20" i="6"/>
  <c r="Z11" i="6"/>
  <c r="Y12" i="6"/>
  <c r="Y13" i="6"/>
  <c r="Y14" i="6"/>
  <c r="Y15" i="6"/>
  <c r="Y16" i="6"/>
  <c r="Y17" i="6"/>
  <c r="Y18" i="6"/>
  <c r="Y19" i="6"/>
  <c r="Y20" i="6"/>
  <c r="Y11" i="6"/>
  <c r="X12" i="6"/>
  <c r="X13" i="6"/>
  <c r="X14" i="6"/>
  <c r="X15" i="6"/>
  <c r="X16" i="6"/>
  <c r="X17" i="6"/>
  <c r="X18" i="6"/>
  <c r="X19" i="6"/>
  <c r="X20" i="6"/>
  <c r="X11" i="6"/>
  <c r="AH8" i="7" l="1"/>
  <c r="AH16" i="7" s="1"/>
  <c r="AO11" i="7" s="1"/>
  <c r="AH9" i="7"/>
  <c r="AH10" i="7"/>
  <c r="AD41" i="7"/>
  <c r="AM10" i="7" s="1"/>
  <c r="AD54" i="7"/>
  <c r="AM11" i="7" s="1"/>
  <c r="AD66" i="7"/>
  <c r="AM12" i="7" s="1"/>
  <c r="AD78" i="7"/>
  <c r="AM13" i="7" s="1"/>
  <c r="AE8" i="6"/>
  <c r="X11" i="5"/>
  <c r="AC77" i="6"/>
  <c r="AC76" i="6"/>
  <c r="AC75" i="6"/>
  <c r="AC74" i="6"/>
  <c r="AC73" i="6"/>
  <c r="AC72" i="6"/>
  <c r="AC71" i="6"/>
  <c r="AC70" i="6"/>
  <c r="AC69" i="6"/>
  <c r="AC68" i="6"/>
  <c r="AC65" i="6"/>
  <c r="AC64" i="6"/>
  <c r="AC63" i="6"/>
  <c r="AC62" i="6"/>
  <c r="AC61" i="6"/>
  <c r="AC60" i="6"/>
  <c r="AC59" i="6"/>
  <c r="AD59" i="6" s="1"/>
  <c r="AC58" i="6"/>
  <c r="AC57" i="6"/>
  <c r="AC56" i="6"/>
  <c r="AC53" i="6"/>
  <c r="AC52" i="6"/>
  <c r="AC51" i="6"/>
  <c r="AC50" i="6"/>
  <c r="AC49" i="6"/>
  <c r="AC48" i="6"/>
  <c r="AC47" i="6"/>
  <c r="AC46" i="6"/>
  <c r="AC45" i="6"/>
  <c r="AC44" i="6"/>
  <c r="AC43" i="6"/>
  <c r="AC40" i="6"/>
  <c r="AC39" i="6"/>
  <c r="AC38" i="6"/>
  <c r="AC37" i="6"/>
  <c r="AC36" i="6"/>
  <c r="AG35" i="6"/>
  <c r="AC35" i="6"/>
  <c r="AG34" i="6"/>
  <c r="AC34" i="6"/>
  <c r="AG33" i="6"/>
  <c r="AC33" i="6"/>
  <c r="AG32" i="6"/>
  <c r="AC32" i="6"/>
  <c r="AG31" i="6"/>
  <c r="AC31" i="6"/>
  <c r="AC30" i="6"/>
  <c r="AG27" i="6"/>
  <c r="AC27" i="6"/>
  <c r="AG26" i="6"/>
  <c r="AC26" i="6"/>
  <c r="AG25" i="6"/>
  <c r="AC25" i="6"/>
  <c r="AG24" i="6"/>
  <c r="AC24" i="6"/>
  <c r="AG23" i="6"/>
  <c r="AC23" i="6"/>
  <c r="AC22" i="6"/>
  <c r="AC21" i="6"/>
  <c r="AC20" i="6"/>
  <c r="AC19" i="6"/>
  <c r="AG18" i="6"/>
  <c r="AC18" i="6"/>
  <c r="AG17" i="6"/>
  <c r="AC17" i="6"/>
  <c r="AG16" i="6"/>
  <c r="AG15" i="6"/>
  <c r="AG14" i="6"/>
  <c r="AK13" i="6"/>
  <c r="AD13" i="6"/>
  <c r="AK12" i="6"/>
  <c r="AC12" i="6"/>
  <c r="AK11" i="6"/>
  <c r="AC11" i="6"/>
  <c r="AK10" i="6"/>
  <c r="AC10" i="6"/>
  <c r="AK9" i="6"/>
  <c r="AC9" i="6"/>
  <c r="AC8" i="6"/>
  <c r="AD19" i="6" l="1"/>
  <c r="AH15" i="7"/>
  <c r="AO10" i="7" s="1"/>
  <c r="AH18" i="7"/>
  <c r="AO13" i="7" s="1"/>
  <c r="AH17" i="7"/>
  <c r="AO12" i="7" s="1"/>
  <c r="AH14" i="7"/>
  <c r="AO9" i="7" s="1"/>
  <c r="AD20" i="6"/>
  <c r="AD38" i="6"/>
  <c r="AD62" i="6"/>
  <c r="AD64" i="6"/>
  <c r="AD31" i="6"/>
  <c r="AD70" i="6"/>
  <c r="AD75" i="6"/>
  <c r="AD63" i="6"/>
  <c r="AD71" i="6"/>
  <c r="AD50" i="6"/>
  <c r="AD57" i="6"/>
  <c r="AD39" i="6"/>
  <c r="AD58" i="6"/>
  <c r="AD36" i="6"/>
  <c r="AD77" i="6"/>
  <c r="AD18" i="6"/>
  <c r="AD34" i="6"/>
  <c r="AD47" i="6"/>
  <c r="AD69" i="6"/>
  <c r="AD72" i="6"/>
  <c r="AD46" i="6"/>
  <c r="AD25" i="6"/>
  <c r="AE12" i="6"/>
  <c r="AD73" i="6"/>
  <c r="AE9" i="6"/>
  <c r="AD35" i="6"/>
  <c r="AD61" i="6"/>
  <c r="AD76" i="6"/>
  <c r="Z22" i="6"/>
  <c r="AD9" i="6" s="1"/>
  <c r="AD26" i="6"/>
  <c r="AE10" i="6"/>
  <c r="AD51" i="6"/>
  <c r="AD65" i="6"/>
  <c r="AD27" i="6"/>
  <c r="AD32" i="6"/>
  <c r="AD23" i="6"/>
  <c r="AD24" i="6"/>
  <c r="AD33" i="6"/>
  <c r="AD49" i="6"/>
  <c r="Z36" i="6"/>
  <c r="AD10" i="6" s="1"/>
  <c r="AD22" i="6"/>
  <c r="AD45" i="6"/>
  <c r="AE11" i="6"/>
  <c r="AD40" i="6"/>
  <c r="AD60" i="6"/>
  <c r="Z64" i="6"/>
  <c r="AD12" i="6" s="1"/>
  <c r="Z8" i="6"/>
  <c r="AD8" i="6" s="1"/>
  <c r="AH23" i="7" s="1"/>
  <c r="AH31" i="7" s="1"/>
  <c r="AN9" i="7" s="1"/>
  <c r="AD48" i="6"/>
  <c r="AD37" i="6"/>
  <c r="AD44" i="6"/>
  <c r="AD52" i="6"/>
  <c r="Z50" i="6"/>
  <c r="AD11" i="6" s="1"/>
  <c r="AD21" i="6"/>
  <c r="AD53" i="6"/>
  <c r="AD74" i="6"/>
  <c r="X56" i="5"/>
  <c r="AH26" i="7" l="1"/>
  <c r="AH34" i="7" s="1"/>
  <c r="AN12" i="7" s="1"/>
  <c r="AH24" i="7"/>
  <c r="AH32" i="7" s="1"/>
  <c r="AN10" i="7" s="1"/>
  <c r="AD28" i="6"/>
  <c r="AM9" i="6" s="1"/>
  <c r="AH25" i="7"/>
  <c r="AH33" i="7" s="1"/>
  <c r="AN11" i="7" s="1"/>
  <c r="AH27" i="7"/>
  <c r="AH35" i="7" s="1"/>
  <c r="AN13" i="7" s="1"/>
  <c r="AD66" i="6"/>
  <c r="AM12" i="6" s="1"/>
  <c r="AD78" i="6"/>
  <c r="AM13" i="6" s="1"/>
  <c r="AH10" i="6"/>
  <c r="AD54" i="6"/>
  <c r="AM11" i="6" s="1"/>
  <c r="AD41" i="6"/>
  <c r="AM10" i="6" s="1"/>
  <c r="AH8" i="6"/>
  <c r="AH9" i="6"/>
  <c r="AE13" i="5"/>
  <c r="Z68" i="5"/>
  <c r="Z69" i="5"/>
  <c r="Z70" i="5"/>
  <c r="Z71" i="5"/>
  <c r="Z72" i="5"/>
  <c r="Z73" i="5"/>
  <c r="Z74" i="5"/>
  <c r="Z75" i="5"/>
  <c r="Z67" i="5"/>
  <c r="Y68" i="5"/>
  <c r="Y69" i="5"/>
  <c r="Y70" i="5"/>
  <c r="Y71" i="5"/>
  <c r="Y72" i="5"/>
  <c r="Y73" i="5"/>
  <c r="Y74" i="5"/>
  <c r="Y75" i="5"/>
  <c r="Y67" i="5"/>
  <c r="X68" i="5"/>
  <c r="X69" i="5"/>
  <c r="X70" i="5"/>
  <c r="X71" i="5"/>
  <c r="X72" i="5"/>
  <c r="X73" i="5"/>
  <c r="X74" i="5"/>
  <c r="X75" i="5"/>
  <c r="X67" i="5"/>
  <c r="Z54" i="5"/>
  <c r="Z55" i="5"/>
  <c r="Z56" i="5"/>
  <c r="Z57" i="5"/>
  <c r="Z58" i="5"/>
  <c r="Z59" i="5"/>
  <c r="Z60" i="5"/>
  <c r="Z61" i="5"/>
  <c r="Z62" i="5"/>
  <c r="Z53" i="5"/>
  <c r="Y54" i="5"/>
  <c r="Y55" i="5"/>
  <c r="Y56" i="5"/>
  <c r="Y57" i="5"/>
  <c r="Y58" i="5"/>
  <c r="Y59" i="5"/>
  <c r="Y60" i="5"/>
  <c r="Y61" i="5"/>
  <c r="Y62" i="5"/>
  <c r="Y53" i="5"/>
  <c r="X54" i="5"/>
  <c r="X55" i="5"/>
  <c r="X57" i="5"/>
  <c r="X58" i="5"/>
  <c r="X59" i="5"/>
  <c r="X60" i="5"/>
  <c r="X61" i="5"/>
  <c r="X62" i="5"/>
  <c r="X53" i="5"/>
  <c r="Z40" i="5"/>
  <c r="Z41" i="5"/>
  <c r="Z42" i="5"/>
  <c r="Z43" i="5"/>
  <c r="Z44" i="5"/>
  <c r="Z45" i="5"/>
  <c r="Z46" i="5"/>
  <c r="Z47" i="5"/>
  <c r="Z48" i="5"/>
  <c r="Z39" i="5"/>
  <c r="Y40" i="5"/>
  <c r="Y41" i="5"/>
  <c r="Y42" i="5"/>
  <c r="Y43" i="5"/>
  <c r="Y44" i="5"/>
  <c r="Y45" i="5"/>
  <c r="Y46" i="5"/>
  <c r="Y47" i="5"/>
  <c r="Y48" i="5"/>
  <c r="Y39" i="5"/>
  <c r="X40" i="5"/>
  <c r="X41" i="5"/>
  <c r="X42" i="5"/>
  <c r="X43" i="5"/>
  <c r="X44" i="5"/>
  <c r="X45" i="5"/>
  <c r="X46" i="5"/>
  <c r="X47" i="5"/>
  <c r="X48" i="5"/>
  <c r="X39" i="5"/>
  <c r="Z26" i="5"/>
  <c r="Z27" i="5"/>
  <c r="Z28" i="5"/>
  <c r="Z29" i="5"/>
  <c r="Z30" i="5"/>
  <c r="Z31" i="5"/>
  <c r="Z32" i="5"/>
  <c r="Z33" i="5"/>
  <c r="Z34" i="5"/>
  <c r="Z25" i="5"/>
  <c r="Y26" i="5"/>
  <c r="Y27" i="5"/>
  <c r="Y28" i="5"/>
  <c r="Y29" i="5"/>
  <c r="Y30" i="5"/>
  <c r="Y31" i="5"/>
  <c r="Y32" i="5"/>
  <c r="Y33" i="5"/>
  <c r="Y34" i="5"/>
  <c r="Y25" i="5"/>
  <c r="X26" i="5"/>
  <c r="X27" i="5"/>
  <c r="X28" i="5"/>
  <c r="X29" i="5"/>
  <c r="X30" i="5"/>
  <c r="X31" i="5"/>
  <c r="X32" i="5"/>
  <c r="X33" i="5"/>
  <c r="X34" i="5"/>
  <c r="X25" i="5"/>
  <c r="Z12" i="5"/>
  <c r="Z13" i="5"/>
  <c r="Z14" i="5"/>
  <c r="Z15" i="5"/>
  <c r="Z16" i="5"/>
  <c r="Z17" i="5"/>
  <c r="Z18" i="5"/>
  <c r="Z19" i="5"/>
  <c r="Z20" i="5"/>
  <c r="Z11" i="5"/>
  <c r="Y12" i="5"/>
  <c r="Y13" i="5"/>
  <c r="Y14" i="5"/>
  <c r="Y15" i="5"/>
  <c r="Y16" i="5"/>
  <c r="Y17" i="5"/>
  <c r="Y18" i="5"/>
  <c r="Y19" i="5"/>
  <c r="Y20" i="5"/>
  <c r="Y11" i="5"/>
  <c r="X12" i="5"/>
  <c r="X13" i="5"/>
  <c r="X14" i="5"/>
  <c r="X15" i="5"/>
  <c r="X16" i="5"/>
  <c r="X17" i="5"/>
  <c r="X18" i="5"/>
  <c r="X19" i="5"/>
  <c r="X20" i="5"/>
  <c r="AC77" i="5"/>
  <c r="AC76" i="5"/>
  <c r="AC75" i="5"/>
  <c r="AC74" i="5"/>
  <c r="AC73" i="5"/>
  <c r="AC72" i="5"/>
  <c r="AC71" i="5"/>
  <c r="AC70" i="5"/>
  <c r="AC69" i="5"/>
  <c r="AC68" i="5"/>
  <c r="AC65" i="5"/>
  <c r="AC64" i="5"/>
  <c r="AC63" i="5"/>
  <c r="AC62" i="5"/>
  <c r="AC61" i="5"/>
  <c r="AC60" i="5"/>
  <c r="AC59" i="5"/>
  <c r="AC58" i="5"/>
  <c r="AC57" i="5"/>
  <c r="AC56" i="5"/>
  <c r="AC53" i="5"/>
  <c r="AC52" i="5"/>
  <c r="AC51" i="5"/>
  <c r="AC50" i="5"/>
  <c r="AC49" i="5"/>
  <c r="AC48" i="5"/>
  <c r="AC47" i="5"/>
  <c r="AC46" i="5"/>
  <c r="AC45" i="5"/>
  <c r="AC44" i="5"/>
  <c r="AC43" i="5"/>
  <c r="AC40" i="5"/>
  <c r="AC39" i="5"/>
  <c r="AC38" i="5"/>
  <c r="AC37" i="5"/>
  <c r="AC36" i="5"/>
  <c r="AG35" i="5"/>
  <c r="AC35" i="5"/>
  <c r="AG34" i="5"/>
  <c r="AC34" i="5"/>
  <c r="AG33" i="5"/>
  <c r="AC33" i="5"/>
  <c r="AG32" i="5"/>
  <c r="AC32" i="5"/>
  <c r="AG31" i="5"/>
  <c r="AC31" i="5"/>
  <c r="AC30" i="5"/>
  <c r="AG27" i="5"/>
  <c r="AC27" i="5"/>
  <c r="AG26" i="5"/>
  <c r="AC26" i="5"/>
  <c r="AG25" i="5"/>
  <c r="AC25" i="5"/>
  <c r="AG24" i="5"/>
  <c r="AC24" i="5"/>
  <c r="AG23" i="5"/>
  <c r="AC23" i="5"/>
  <c r="AC22" i="5"/>
  <c r="AC21" i="5"/>
  <c r="AC20" i="5"/>
  <c r="AC19" i="5"/>
  <c r="AG18" i="5"/>
  <c r="AC18" i="5"/>
  <c r="AG17" i="5"/>
  <c r="AC17" i="5"/>
  <c r="AG16" i="5"/>
  <c r="AG15" i="5"/>
  <c r="AG14" i="5"/>
  <c r="AK13" i="5"/>
  <c r="AD13" i="5"/>
  <c r="AK12" i="5"/>
  <c r="AC12" i="5"/>
  <c r="AK11" i="5"/>
  <c r="AC11" i="5"/>
  <c r="AK10" i="5"/>
  <c r="AC10" i="5"/>
  <c r="AK9" i="5"/>
  <c r="AC9" i="5"/>
  <c r="AC8" i="5"/>
  <c r="AH17" i="6" l="1"/>
  <c r="AO12" i="6" s="1"/>
  <c r="AH18" i="6"/>
  <c r="AO13" i="6" s="1"/>
  <c r="AH14" i="6"/>
  <c r="AO9" i="6" s="1"/>
  <c r="AH15" i="6"/>
  <c r="AO10" i="6" s="1"/>
  <c r="AH16" i="6"/>
  <c r="AO11" i="6" s="1"/>
  <c r="AD18" i="5"/>
  <c r="AD24" i="5"/>
  <c r="AE8" i="5"/>
  <c r="AD64" i="5"/>
  <c r="AD60" i="5"/>
  <c r="AD34" i="5"/>
  <c r="AD74" i="5"/>
  <c r="AE9" i="5"/>
  <c r="AD61" i="5"/>
  <c r="Z8" i="5"/>
  <c r="AD8" i="5" s="1"/>
  <c r="AD36" i="5"/>
  <c r="AD57" i="5"/>
  <c r="AD52" i="5"/>
  <c r="AD21" i="5"/>
  <c r="AD25" i="5"/>
  <c r="AD47" i="5"/>
  <c r="AD31" i="5"/>
  <c r="AD38" i="5"/>
  <c r="AD44" i="5"/>
  <c r="Z50" i="5"/>
  <c r="AD11" i="5" s="1"/>
  <c r="AD72" i="5"/>
  <c r="Z22" i="5"/>
  <c r="AD9" i="5" s="1"/>
  <c r="AD26" i="5"/>
  <c r="AD48" i="5"/>
  <c r="AD49" i="5"/>
  <c r="AD76" i="5"/>
  <c r="AE10" i="5"/>
  <c r="AD51" i="5"/>
  <c r="Z36" i="5"/>
  <c r="AD10" i="5" s="1"/>
  <c r="AD27" i="5"/>
  <c r="AD22" i="5"/>
  <c r="AE12" i="5"/>
  <c r="AD23" i="5"/>
  <c r="AE11" i="5"/>
  <c r="AD69" i="5"/>
  <c r="AD75" i="5"/>
  <c r="AD50" i="5"/>
  <c r="AD77" i="5"/>
  <c r="AD20" i="5"/>
  <c r="AD65" i="5"/>
  <c r="AD39" i="5"/>
  <c r="AD45" i="5"/>
  <c r="AD53" i="5"/>
  <c r="AD33" i="5"/>
  <c r="AD40" i="5"/>
  <c r="AD59" i="5"/>
  <c r="AD35" i="5"/>
  <c r="AD19" i="5"/>
  <c r="AD70" i="5"/>
  <c r="AD37" i="5"/>
  <c r="AD62" i="5"/>
  <c r="AD63" i="5"/>
  <c r="AD71" i="5"/>
  <c r="AD32" i="5"/>
  <c r="AD58" i="5"/>
  <c r="Z64" i="5"/>
  <c r="AD12" i="5" s="1"/>
  <c r="AD46" i="5"/>
  <c r="AD73" i="5"/>
  <c r="Z71" i="4"/>
  <c r="Z61" i="4"/>
  <c r="X61" i="4"/>
  <c r="Y61" i="4"/>
  <c r="X62" i="4"/>
  <c r="X15" i="4"/>
  <c r="Z15" i="4"/>
  <c r="AE13" i="4"/>
  <c r="Z68" i="4"/>
  <c r="Z69" i="4"/>
  <c r="Z70" i="4"/>
  <c r="Z72" i="4"/>
  <c r="Z73" i="4"/>
  <c r="Z74" i="4"/>
  <c r="Z75" i="4"/>
  <c r="Z67" i="4"/>
  <c r="Y68" i="4"/>
  <c r="Y69" i="4"/>
  <c r="Y70" i="4"/>
  <c r="Y71" i="4"/>
  <c r="Y72" i="4"/>
  <c r="Y73" i="4"/>
  <c r="Y74" i="4"/>
  <c r="Y75" i="4"/>
  <c r="Y67" i="4"/>
  <c r="X68" i="4"/>
  <c r="X69" i="4"/>
  <c r="X70" i="4"/>
  <c r="X71" i="4"/>
  <c r="X72" i="4"/>
  <c r="X73" i="4"/>
  <c r="X74" i="4"/>
  <c r="X75" i="4"/>
  <c r="X67" i="4"/>
  <c r="Z54" i="4"/>
  <c r="Z55" i="4"/>
  <c r="Z56" i="4"/>
  <c r="Z57" i="4"/>
  <c r="Z58" i="4"/>
  <c r="Z59" i="4"/>
  <c r="Z60" i="4"/>
  <c r="Z62" i="4"/>
  <c r="Z53" i="4"/>
  <c r="Y54" i="4"/>
  <c r="Y55" i="4"/>
  <c r="Y56" i="4"/>
  <c r="Y57" i="4"/>
  <c r="Y58" i="4"/>
  <c r="Y59" i="4"/>
  <c r="Y60" i="4"/>
  <c r="Y62" i="4"/>
  <c r="Y53" i="4"/>
  <c r="X54" i="4"/>
  <c r="X55" i="4"/>
  <c r="X56" i="4"/>
  <c r="X57" i="4"/>
  <c r="X58" i="4"/>
  <c r="X59" i="4"/>
  <c r="X60" i="4"/>
  <c r="X53" i="4"/>
  <c r="Z40" i="4"/>
  <c r="Z41" i="4"/>
  <c r="Z42" i="4"/>
  <c r="Z43" i="4"/>
  <c r="Z44" i="4"/>
  <c r="Z45" i="4"/>
  <c r="Z46" i="4"/>
  <c r="Z47" i="4"/>
  <c r="Z48" i="4"/>
  <c r="Z39" i="4"/>
  <c r="Y40" i="4"/>
  <c r="Y41" i="4"/>
  <c r="Y42" i="4"/>
  <c r="Y43" i="4"/>
  <c r="Y44" i="4"/>
  <c r="Y45" i="4"/>
  <c r="Y46" i="4"/>
  <c r="Y47" i="4"/>
  <c r="Y48" i="4"/>
  <c r="Y39" i="4"/>
  <c r="X40" i="4"/>
  <c r="X41" i="4"/>
  <c r="X42" i="4"/>
  <c r="X43" i="4"/>
  <c r="X44" i="4"/>
  <c r="X45" i="4"/>
  <c r="X46" i="4"/>
  <c r="X47" i="4"/>
  <c r="X48" i="4"/>
  <c r="X39" i="4"/>
  <c r="Z26" i="4"/>
  <c r="Z27" i="4"/>
  <c r="Z28" i="4"/>
  <c r="Z29" i="4"/>
  <c r="Z30" i="4"/>
  <c r="Z31" i="4"/>
  <c r="Z32" i="4"/>
  <c r="Z33" i="4"/>
  <c r="Z34" i="4"/>
  <c r="Z25" i="4"/>
  <c r="Y34" i="4"/>
  <c r="Y26" i="4"/>
  <c r="Y27" i="4"/>
  <c r="Y28" i="4"/>
  <c r="Y29" i="4"/>
  <c r="Y30" i="4"/>
  <c r="Y31" i="4"/>
  <c r="Y32" i="4"/>
  <c r="Y33" i="4"/>
  <c r="Y25" i="4"/>
  <c r="X34" i="4"/>
  <c r="X26" i="4"/>
  <c r="X27" i="4"/>
  <c r="X28" i="4"/>
  <c r="X29" i="4"/>
  <c r="X30" i="4"/>
  <c r="X31" i="4"/>
  <c r="X32" i="4"/>
  <c r="X33" i="4"/>
  <c r="X25" i="4"/>
  <c r="AH25" i="6" l="1"/>
  <c r="AH33" i="6" s="1"/>
  <c r="AN11" i="6" s="1"/>
  <c r="AH24" i="6"/>
  <c r="AH32" i="6" s="1"/>
  <c r="AN10" i="6" s="1"/>
  <c r="AN9" i="5"/>
  <c r="AH23" i="6"/>
  <c r="AH31" i="6" s="1"/>
  <c r="AN9" i="6" s="1"/>
  <c r="AH27" i="6"/>
  <c r="AH35" i="6" s="1"/>
  <c r="AN13" i="6" s="1"/>
  <c r="AH26" i="6"/>
  <c r="AH34" i="6" s="1"/>
  <c r="AN12" i="6" s="1"/>
  <c r="AH8" i="5"/>
  <c r="AH9" i="5"/>
  <c r="AH10" i="5"/>
  <c r="AD41" i="5"/>
  <c r="AM10" i="5" s="1"/>
  <c r="AD28" i="5"/>
  <c r="AM9" i="5" s="1"/>
  <c r="AD78" i="5"/>
  <c r="AM13" i="5" s="1"/>
  <c r="AD54" i="5"/>
  <c r="AM11" i="5" s="1"/>
  <c r="AD66" i="5"/>
  <c r="AM12" i="5" s="1"/>
  <c r="X11" i="4"/>
  <c r="Y11" i="4"/>
  <c r="AH16" i="5" l="1"/>
  <c r="AO11" i="5" s="1"/>
  <c r="AH17" i="5"/>
  <c r="AO12" i="5" s="1"/>
  <c r="AH15" i="5"/>
  <c r="AO10" i="5" s="1"/>
  <c r="AH18" i="5"/>
  <c r="AO13" i="5" s="1"/>
  <c r="AH14" i="5"/>
  <c r="AO9" i="5" s="1"/>
  <c r="AC77" i="4"/>
  <c r="AC76" i="4"/>
  <c r="AC75" i="4"/>
  <c r="AC74" i="4"/>
  <c r="AC73" i="4"/>
  <c r="AC72" i="4"/>
  <c r="AC71" i="4"/>
  <c r="AC70" i="4"/>
  <c r="AC69" i="4"/>
  <c r="AC68" i="4"/>
  <c r="AC65" i="4"/>
  <c r="AC64" i="4"/>
  <c r="AC63" i="4"/>
  <c r="AC62" i="4"/>
  <c r="AC61" i="4"/>
  <c r="AC60" i="4"/>
  <c r="AC59" i="4"/>
  <c r="AC58" i="4"/>
  <c r="AC57" i="4"/>
  <c r="AC56" i="4"/>
  <c r="AC53" i="4"/>
  <c r="AC52" i="4"/>
  <c r="AC51" i="4"/>
  <c r="AC50" i="4"/>
  <c r="AC49" i="4"/>
  <c r="AC48" i="4"/>
  <c r="AC47" i="4"/>
  <c r="AC46" i="4"/>
  <c r="AC45" i="4"/>
  <c r="AC44" i="4"/>
  <c r="AC43" i="4"/>
  <c r="AC40" i="4"/>
  <c r="AC39" i="4"/>
  <c r="AC38" i="4"/>
  <c r="AC37" i="4"/>
  <c r="AC36" i="4"/>
  <c r="AG35" i="4"/>
  <c r="AC35" i="4"/>
  <c r="AG34" i="4"/>
  <c r="AC34" i="4"/>
  <c r="AG33" i="4"/>
  <c r="AC33" i="4"/>
  <c r="AG32" i="4"/>
  <c r="AC32" i="4"/>
  <c r="AG31" i="4"/>
  <c r="AC31" i="4"/>
  <c r="AC30" i="4"/>
  <c r="AG27" i="4"/>
  <c r="AC27" i="4"/>
  <c r="AG26" i="4"/>
  <c r="AC26" i="4"/>
  <c r="AG25" i="4"/>
  <c r="AC25" i="4"/>
  <c r="AG24" i="4"/>
  <c r="AC24" i="4"/>
  <c r="AG23" i="4"/>
  <c r="AC23" i="4"/>
  <c r="AC22" i="4"/>
  <c r="AC21" i="4"/>
  <c r="AC20" i="4"/>
  <c r="Z20" i="4"/>
  <c r="Y20" i="4"/>
  <c r="X20" i="4"/>
  <c r="AC19" i="4"/>
  <c r="Z19" i="4"/>
  <c r="Y19" i="4"/>
  <c r="X19" i="4"/>
  <c r="AG18" i="4"/>
  <c r="AC18" i="4"/>
  <c r="Z18" i="4"/>
  <c r="Y18" i="4"/>
  <c r="X18" i="4"/>
  <c r="AG17" i="4"/>
  <c r="AC17" i="4"/>
  <c r="Z17" i="4"/>
  <c r="Y17" i="4"/>
  <c r="X17" i="4"/>
  <c r="AG16" i="4"/>
  <c r="Z16" i="4"/>
  <c r="Y16" i="4"/>
  <c r="X16" i="4"/>
  <c r="AG15" i="4"/>
  <c r="Y15" i="4"/>
  <c r="AG14" i="4"/>
  <c r="Z14" i="4"/>
  <c r="Y14" i="4"/>
  <c r="X14" i="4"/>
  <c r="AK13" i="4"/>
  <c r="AD13" i="4"/>
  <c r="Z13" i="4"/>
  <c r="Y13" i="4"/>
  <c r="X13" i="4"/>
  <c r="AK12" i="4"/>
  <c r="AC12" i="4"/>
  <c r="Z12" i="4"/>
  <c r="Y12" i="4"/>
  <c r="X12" i="4"/>
  <c r="AK11" i="4"/>
  <c r="AC11" i="4"/>
  <c r="Z11" i="4"/>
  <c r="AK10" i="4"/>
  <c r="AC10" i="4"/>
  <c r="AK9" i="4"/>
  <c r="AC9" i="4"/>
  <c r="AC8" i="4"/>
  <c r="X14" i="3"/>
  <c r="AD13" i="3"/>
  <c r="AD25" i="4" l="1"/>
  <c r="AD57" i="4"/>
  <c r="AD74" i="4"/>
  <c r="AD70" i="4"/>
  <c r="AD65" i="4"/>
  <c r="AD50" i="4"/>
  <c r="AE10" i="4"/>
  <c r="AE12" i="4"/>
  <c r="Z36" i="4"/>
  <c r="AD10" i="4" s="1"/>
  <c r="AH25" i="5" s="1"/>
  <c r="AH33" i="5" s="1"/>
  <c r="AN11" i="5" s="1"/>
  <c r="AD22" i="4"/>
  <c r="AD46" i="4"/>
  <c r="AD73" i="4"/>
  <c r="AD18" i="4"/>
  <c r="AD34" i="4"/>
  <c r="AD47" i="4"/>
  <c r="AD69" i="4"/>
  <c r="Z22" i="4"/>
  <c r="AD9" i="4" s="1"/>
  <c r="AD61" i="4"/>
  <c r="AD62" i="4"/>
  <c r="AD63" i="4"/>
  <c r="AD76" i="4"/>
  <c r="AD38" i="4"/>
  <c r="AD59" i="4"/>
  <c r="AD60" i="4"/>
  <c r="Z8" i="4"/>
  <c r="AD8" i="4" s="1"/>
  <c r="AH23" i="5" s="1"/>
  <c r="AE9" i="4"/>
  <c r="AD75" i="4"/>
  <c r="AD19" i="4"/>
  <c r="AD26" i="4"/>
  <c r="AD31" i="4"/>
  <c r="AD36" i="4"/>
  <c r="AD48" i="4"/>
  <c r="AD37" i="4"/>
  <c r="AD49" i="4"/>
  <c r="AD64" i="4"/>
  <c r="AD77" i="4"/>
  <c r="AD51" i="4"/>
  <c r="AD20" i="4"/>
  <c r="AD44" i="4"/>
  <c r="AD52" i="4"/>
  <c r="AD21" i="4"/>
  <c r="AD27" i="4"/>
  <c r="AD32" i="4"/>
  <c r="AE11" i="4"/>
  <c r="AD71" i="4"/>
  <c r="AD39" i="4"/>
  <c r="Z50" i="4"/>
  <c r="AD11" i="4" s="1"/>
  <c r="AD58" i="4"/>
  <c r="AD23" i="4"/>
  <c r="AD45" i="4"/>
  <c r="AD53" i="4"/>
  <c r="AD24" i="4"/>
  <c r="AD72" i="4"/>
  <c r="AD35" i="4"/>
  <c r="AD33" i="4"/>
  <c r="AD40" i="4"/>
  <c r="Z64" i="4"/>
  <c r="AD12" i="4" s="1"/>
  <c r="AE8" i="4"/>
  <c r="AH26" i="5" l="1"/>
  <c r="AH34" i="5" s="1"/>
  <c r="AN12" i="5" s="1"/>
  <c r="AH27" i="5"/>
  <c r="AH35" i="5" s="1"/>
  <c r="AN13" i="5" s="1"/>
  <c r="AH24" i="5"/>
  <c r="AH32" i="5" s="1"/>
  <c r="AN10" i="5" s="1"/>
  <c r="AH8" i="4"/>
  <c r="AH10" i="4"/>
  <c r="AH9" i="4"/>
  <c r="AD66" i="4"/>
  <c r="AM12" i="4" s="1"/>
  <c r="AD78" i="4"/>
  <c r="AM13" i="4" s="1"/>
  <c r="AD28" i="4"/>
  <c r="AM9" i="4" s="1"/>
  <c r="AD54" i="4"/>
  <c r="AM11" i="4" s="1"/>
  <c r="AD41" i="4"/>
  <c r="AM10" i="4" s="1"/>
  <c r="AG35" i="3"/>
  <c r="AG34" i="3"/>
  <c r="AG33" i="3"/>
  <c r="AG32" i="3"/>
  <c r="AG31" i="3"/>
  <c r="AH14" i="4" l="1"/>
  <c r="AO9" i="4" s="1"/>
  <c r="AH16" i="4"/>
  <c r="AO11" i="4" s="1"/>
  <c r="AH17" i="4"/>
  <c r="AO12" i="4" s="1"/>
  <c r="AH18" i="4"/>
  <c r="AO13" i="4" s="1"/>
  <c r="AH15" i="4"/>
  <c r="AO10" i="4" s="1"/>
  <c r="AG27" i="3"/>
  <c r="AG26" i="3"/>
  <c r="AG25" i="3"/>
  <c r="AG24" i="3"/>
  <c r="AG23" i="3"/>
  <c r="AC77" i="3"/>
  <c r="AC76" i="3"/>
  <c r="AC75" i="3"/>
  <c r="AC74" i="3"/>
  <c r="Z74" i="3"/>
  <c r="Y74" i="3"/>
  <c r="X74" i="3"/>
  <c r="AC73" i="3"/>
  <c r="Z73" i="3"/>
  <c r="Y73" i="3"/>
  <c r="X73" i="3"/>
  <c r="AC72" i="3"/>
  <c r="Z72" i="3"/>
  <c r="Y72" i="3"/>
  <c r="X72" i="3"/>
  <c r="AC71" i="3"/>
  <c r="Z71" i="3"/>
  <c r="Y71" i="3"/>
  <c r="X71" i="3"/>
  <c r="AC70" i="3"/>
  <c r="Z70" i="3"/>
  <c r="Y70" i="3"/>
  <c r="X70" i="3"/>
  <c r="AC69" i="3"/>
  <c r="Z69" i="3"/>
  <c r="Y69" i="3"/>
  <c r="X69" i="3"/>
  <c r="AC68" i="3"/>
  <c r="Z68" i="3"/>
  <c r="Y68" i="3"/>
  <c r="X68" i="3"/>
  <c r="Z67" i="3"/>
  <c r="Y67" i="3"/>
  <c r="X67" i="3"/>
  <c r="Z66" i="3"/>
  <c r="Y66" i="3"/>
  <c r="X66" i="3"/>
  <c r="AC65" i="3"/>
  <c r="AC64" i="3"/>
  <c r="AC63" i="3"/>
  <c r="AC62" i="3"/>
  <c r="AC61" i="3"/>
  <c r="Z61" i="3"/>
  <c r="Y61" i="3"/>
  <c r="X61" i="3"/>
  <c r="AC60" i="3"/>
  <c r="Z60" i="3"/>
  <c r="Y60" i="3"/>
  <c r="X60" i="3"/>
  <c r="AC59" i="3"/>
  <c r="Z59" i="3"/>
  <c r="Y59" i="3"/>
  <c r="X59" i="3"/>
  <c r="AC58" i="3"/>
  <c r="Z58" i="3"/>
  <c r="Y58" i="3"/>
  <c r="X58" i="3"/>
  <c r="AC57" i="3"/>
  <c r="Z57" i="3"/>
  <c r="Y57" i="3"/>
  <c r="X57" i="3"/>
  <c r="AC56" i="3"/>
  <c r="Z56" i="3"/>
  <c r="Y56" i="3"/>
  <c r="X56" i="3"/>
  <c r="Z55" i="3"/>
  <c r="Y55" i="3"/>
  <c r="X55" i="3"/>
  <c r="Z54" i="3"/>
  <c r="Y54" i="3"/>
  <c r="X54" i="3"/>
  <c r="AC53" i="3"/>
  <c r="Z53" i="3"/>
  <c r="Y53" i="3"/>
  <c r="X53" i="3"/>
  <c r="AC52" i="3"/>
  <c r="AC51" i="3"/>
  <c r="AC50" i="3"/>
  <c r="AC49" i="3"/>
  <c r="AC48" i="3"/>
  <c r="Z48" i="3"/>
  <c r="Y48" i="3"/>
  <c r="X48" i="3"/>
  <c r="AC47" i="3"/>
  <c r="Z47" i="3"/>
  <c r="Y47" i="3"/>
  <c r="X47" i="3"/>
  <c r="AC46" i="3"/>
  <c r="Z46" i="3"/>
  <c r="Y46" i="3"/>
  <c r="X46" i="3"/>
  <c r="AC45" i="3"/>
  <c r="Z45" i="3"/>
  <c r="Y45" i="3"/>
  <c r="X45" i="3"/>
  <c r="AC44" i="3"/>
  <c r="Z44" i="3"/>
  <c r="Y44" i="3"/>
  <c r="X44" i="3"/>
  <c r="AC43" i="3"/>
  <c r="Z43" i="3"/>
  <c r="Y43" i="3"/>
  <c r="X43" i="3"/>
  <c r="Z42" i="3"/>
  <c r="Y42" i="3"/>
  <c r="X42" i="3"/>
  <c r="Z41" i="3"/>
  <c r="Y41" i="3"/>
  <c r="X41" i="3"/>
  <c r="AC40" i="3"/>
  <c r="Z40" i="3"/>
  <c r="Y40" i="3"/>
  <c r="X40" i="3"/>
  <c r="AC39" i="3"/>
  <c r="Z39" i="3"/>
  <c r="Y39" i="3"/>
  <c r="X39" i="3"/>
  <c r="AC38" i="3"/>
  <c r="AC37" i="3"/>
  <c r="AC36" i="3"/>
  <c r="AC35" i="3"/>
  <c r="AC34" i="3"/>
  <c r="Z34" i="3"/>
  <c r="Y34" i="3"/>
  <c r="X34" i="3"/>
  <c r="AC33" i="3"/>
  <c r="Z33" i="3"/>
  <c r="Y33" i="3"/>
  <c r="X33" i="3"/>
  <c r="AC32" i="3"/>
  <c r="Z32" i="3"/>
  <c r="Y32" i="3"/>
  <c r="X32" i="3"/>
  <c r="AC31" i="3"/>
  <c r="Z31" i="3"/>
  <c r="Y31" i="3"/>
  <c r="X31" i="3"/>
  <c r="AC30" i="3"/>
  <c r="Z30" i="3"/>
  <c r="Y30" i="3"/>
  <c r="X30" i="3"/>
  <c r="Z29" i="3"/>
  <c r="Y29" i="3"/>
  <c r="X29" i="3"/>
  <c r="Z28" i="3"/>
  <c r="Y28" i="3"/>
  <c r="X28" i="3"/>
  <c r="AC27" i="3"/>
  <c r="Z27" i="3"/>
  <c r="Y27" i="3"/>
  <c r="X27" i="3"/>
  <c r="AC26" i="3"/>
  <c r="Z26" i="3"/>
  <c r="Y26" i="3"/>
  <c r="X26" i="3"/>
  <c r="AC25" i="3"/>
  <c r="Z25" i="3"/>
  <c r="Y25" i="3"/>
  <c r="X25" i="3"/>
  <c r="AC24" i="3"/>
  <c r="AC23" i="3"/>
  <c r="AC22" i="3"/>
  <c r="AC21" i="3"/>
  <c r="AC20" i="3"/>
  <c r="Z20" i="3"/>
  <c r="Y20" i="3"/>
  <c r="X20" i="3"/>
  <c r="AC19" i="3"/>
  <c r="Z19" i="3"/>
  <c r="Y19" i="3"/>
  <c r="X19" i="3"/>
  <c r="AG18" i="3"/>
  <c r="AC18" i="3"/>
  <c r="Z18" i="3"/>
  <c r="Y18" i="3"/>
  <c r="X18" i="3"/>
  <c r="AG17" i="3"/>
  <c r="AC17" i="3"/>
  <c r="Z17" i="3"/>
  <c r="Y17" i="3"/>
  <c r="X17" i="3"/>
  <c r="AG16" i="3"/>
  <c r="Z16" i="3"/>
  <c r="Y16" i="3"/>
  <c r="X16" i="3"/>
  <c r="AG15" i="3"/>
  <c r="Z15" i="3"/>
  <c r="Y15" i="3"/>
  <c r="X15" i="3"/>
  <c r="AG14" i="3"/>
  <c r="Z14" i="3"/>
  <c r="Y14" i="3"/>
  <c r="AK13" i="3"/>
  <c r="AE13" i="3"/>
  <c r="Z13" i="3"/>
  <c r="Y13" i="3"/>
  <c r="X13" i="3"/>
  <c r="AK12" i="3"/>
  <c r="AC12" i="3"/>
  <c r="Z12" i="3"/>
  <c r="Y12" i="3"/>
  <c r="X12" i="3"/>
  <c r="AK11" i="3"/>
  <c r="AC11" i="3"/>
  <c r="Z11" i="3"/>
  <c r="Y11" i="3"/>
  <c r="X11" i="3"/>
  <c r="AK10" i="3"/>
  <c r="AC10" i="3"/>
  <c r="AK9" i="3"/>
  <c r="AC9" i="3"/>
  <c r="AC8" i="3"/>
  <c r="AD37" i="3" l="1"/>
  <c r="AD71" i="3"/>
  <c r="AD77" i="3"/>
  <c r="AD33" i="3"/>
  <c r="AD34" i="3"/>
  <c r="AD52" i="3"/>
  <c r="AD53" i="3"/>
  <c r="AD22" i="3"/>
  <c r="AD51" i="3"/>
  <c r="AD46" i="3"/>
  <c r="AD73" i="3"/>
  <c r="AE12" i="3"/>
  <c r="Z36" i="3"/>
  <c r="AD10" i="3" s="1"/>
  <c r="AD35" i="3"/>
  <c r="AD25" i="3"/>
  <c r="AD32" i="3"/>
  <c r="AD39" i="3"/>
  <c r="AD19" i="3"/>
  <c r="AD26" i="3"/>
  <c r="AD27" i="3"/>
  <c r="AD49" i="3"/>
  <c r="AD70" i="3"/>
  <c r="AD74" i="3"/>
  <c r="Z8" i="3"/>
  <c r="AD38" i="3"/>
  <c r="AD47" i="3"/>
  <c r="AD50" i="3"/>
  <c r="Z50" i="3"/>
  <c r="AD11" i="3" s="1"/>
  <c r="AD57" i="3"/>
  <c r="AD58" i="3"/>
  <c r="AD60" i="3"/>
  <c r="AD61" i="3"/>
  <c r="AD64" i="3"/>
  <c r="AD75" i="3"/>
  <c r="AD20" i="3"/>
  <c r="AD45" i="3"/>
  <c r="AD59" i="3"/>
  <c r="Z63" i="3"/>
  <c r="AD12" i="3" s="1"/>
  <c r="AE8" i="3"/>
  <c r="AE11" i="3"/>
  <c r="AE9" i="3"/>
  <c r="AD48" i="3"/>
  <c r="AD63" i="3"/>
  <c r="AD69" i="3"/>
  <c r="AD72" i="3"/>
  <c r="AE10" i="3"/>
  <c r="AD21" i="3"/>
  <c r="AD24" i="3"/>
  <c r="AD18" i="3"/>
  <c r="AD23" i="3"/>
  <c r="Z22" i="3"/>
  <c r="AD9" i="3" s="1"/>
  <c r="AD31" i="3"/>
  <c r="AD36" i="3"/>
  <c r="AD44" i="3"/>
  <c r="AD62" i="3"/>
  <c r="AD65" i="3"/>
  <c r="AD76" i="3"/>
  <c r="AD40" i="3"/>
  <c r="AE13" i="1"/>
  <c r="X11" i="1"/>
  <c r="Z11" i="1"/>
  <c r="Y11" i="1"/>
  <c r="Y57" i="1"/>
  <c r="AH27" i="4" l="1"/>
  <c r="AH35" i="4" s="1"/>
  <c r="AN13" i="4" s="1"/>
  <c r="AH25" i="4"/>
  <c r="AH33" i="4" s="1"/>
  <c r="AN11" i="4" s="1"/>
  <c r="AH26" i="4"/>
  <c r="AH34" i="4" s="1"/>
  <c r="AN12" i="4" s="1"/>
  <c r="AH24" i="4"/>
  <c r="AH32" i="4" s="1"/>
  <c r="AN10" i="4" s="1"/>
  <c r="AD8" i="3"/>
  <c r="AD66" i="3"/>
  <c r="AM12" i="3" s="1"/>
  <c r="AD28" i="3"/>
  <c r="AM9" i="3" s="1"/>
  <c r="AD54" i="3"/>
  <c r="AM11" i="3" s="1"/>
  <c r="AD41" i="3"/>
  <c r="AM10" i="3" s="1"/>
  <c r="AD78" i="3"/>
  <c r="AM13" i="3" s="1"/>
  <c r="AC26" i="1"/>
  <c r="X19" i="1"/>
  <c r="Y19" i="1"/>
  <c r="Z19" i="1"/>
  <c r="AH9" i="3" l="1"/>
  <c r="AH23" i="4"/>
  <c r="AH31" i="4" s="1"/>
  <c r="AN9" i="4" s="1"/>
  <c r="AH8" i="3"/>
  <c r="AH10" i="3"/>
  <c r="AC71" i="1"/>
  <c r="AC72" i="1"/>
  <c r="AC73" i="1"/>
  <c r="AC74" i="1"/>
  <c r="AC75" i="1"/>
  <c r="AC59" i="1"/>
  <c r="AC60" i="1"/>
  <c r="AC61" i="1"/>
  <c r="AC62" i="1"/>
  <c r="AC46" i="1"/>
  <c r="AC47" i="1"/>
  <c r="AC48" i="1"/>
  <c r="AC49" i="1"/>
  <c r="AC50" i="1"/>
  <c r="AC51" i="1"/>
  <c r="AC52" i="1"/>
  <c r="AC53" i="1"/>
  <c r="AC33" i="1"/>
  <c r="AC34" i="1"/>
  <c r="AC35" i="1"/>
  <c r="AC36" i="1"/>
  <c r="AC37" i="1"/>
  <c r="AC38" i="1"/>
  <c r="AC39" i="1"/>
  <c r="AC40" i="1"/>
  <c r="Z69" i="1"/>
  <c r="Z70" i="1"/>
  <c r="Y69" i="1"/>
  <c r="Y70" i="1"/>
  <c r="X69" i="1"/>
  <c r="X70" i="1"/>
  <c r="Z56" i="1"/>
  <c r="Z57" i="1"/>
  <c r="Y56" i="1"/>
  <c r="Y58" i="1"/>
  <c r="X56" i="1"/>
  <c r="X57" i="1"/>
  <c r="X58" i="1"/>
  <c r="Z43" i="1"/>
  <c r="Z44" i="1"/>
  <c r="Z45" i="1"/>
  <c r="Y43" i="1"/>
  <c r="Y44" i="1"/>
  <c r="Y45" i="1"/>
  <c r="Y46" i="1"/>
  <c r="X43" i="1"/>
  <c r="X44" i="1"/>
  <c r="X45" i="1"/>
  <c r="X46" i="1"/>
  <c r="Z34" i="1"/>
  <c r="Y34" i="1"/>
  <c r="X34" i="1"/>
  <c r="X33" i="1"/>
  <c r="Y33" i="1"/>
  <c r="Z33" i="1"/>
  <c r="X32" i="1"/>
  <c r="Y32" i="1"/>
  <c r="Z32" i="1"/>
  <c r="X31" i="1"/>
  <c r="Y31" i="1"/>
  <c r="Z31" i="1"/>
  <c r="AC25" i="1"/>
  <c r="AC27" i="1"/>
  <c r="AC24" i="1"/>
  <c r="AC19" i="1"/>
  <c r="Z17" i="1"/>
  <c r="Z18" i="1"/>
  <c r="Y17" i="1"/>
  <c r="Y18" i="1"/>
  <c r="X17" i="1"/>
  <c r="X18" i="1"/>
  <c r="AH16" i="3" l="1"/>
  <c r="AO11" i="3" s="1"/>
  <c r="AH17" i="3"/>
  <c r="AO12" i="3" s="1"/>
  <c r="AH14" i="3"/>
  <c r="AO9" i="3" s="1"/>
  <c r="AH15" i="3"/>
  <c r="AO10" i="3" s="1"/>
  <c r="AH18" i="3"/>
  <c r="AO13" i="3" s="1"/>
  <c r="AK13" i="1"/>
  <c r="AK12" i="1"/>
  <c r="AK11" i="1"/>
  <c r="AK10" i="1"/>
  <c r="AK9" i="1"/>
  <c r="Z28" i="1"/>
  <c r="AD13" i="1"/>
  <c r="Z67" i="1"/>
  <c r="Z68" i="1"/>
  <c r="Z71" i="1"/>
  <c r="Z72" i="1"/>
  <c r="Z73" i="1"/>
  <c r="Z74" i="1"/>
  <c r="Z66" i="1"/>
  <c r="Y67" i="1"/>
  <c r="Y68" i="1"/>
  <c r="Y71" i="1"/>
  <c r="Y72" i="1"/>
  <c r="Y73" i="1"/>
  <c r="Y74" i="1"/>
  <c r="Y66" i="1"/>
  <c r="Z54" i="1"/>
  <c r="Z55" i="1"/>
  <c r="Z58" i="1"/>
  <c r="Z59" i="1"/>
  <c r="Z60" i="1"/>
  <c r="Z61" i="1"/>
  <c r="Z53" i="1"/>
  <c r="Y54" i="1"/>
  <c r="Y55" i="1"/>
  <c r="Y59" i="1"/>
  <c r="Y60" i="1"/>
  <c r="Y61" i="1"/>
  <c r="Y53" i="1"/>
  <c r="Z40" i="1"/>
  <c r="Z41" i="1"/>
  <c r="Z42" i="1"/>
  <c r="Z46" i="1"/>
  <c r="Z47" i="1"/>
  <c r="Z48" i="1"/>
  <c r="Z39" i="1"/>
  <c r="Y40" i="1"/>
  <c r="Y41" i="1"/>
  <c r="Y42" i="1"/>
  <c r="Y47" i="1"/>
  <c r="Y48" i="1"/>
  <c r="Y39" i="1"/>
  <c r="Z26" i="1"/>
  <c r="Z27" i="1"/>
  <c r="Z29" i="1"/>
  <c r="Z30" i="1"/>
  <c r="Z25" i="1"/>
  <c r="Y26" i="1"/>
  <c r="Y27" i="1"/>
  <c r="Y28" i="1"/>
  <c r="Y29" i="1"/>
  <c r="Y30" i="1"/>
  <c r="Y25" i="1"/>
  <c r="Y12" i="1"/>
  <c r="Y13" i="1"/>
  <c r="Y14" i="1"/>
  <c r="Y15" i="1"/>
  <c r="Y16" i="1"/>
  <c r="Y20" i="1"/>
  <c r="Z12" i="1"/>
  <c r="Z13" i="1"/>
  <c r="Z14" i="1"/>
  <c r="Z15" i="1"/>
  <c r="Z16" i="1"/>
  <c r="Z20" i="1"/>
  <c r="AG18" i="1"/>
  <c r="AG17" i="1"/>
  <c r="AG16" i="1"/>
  <c r="AG15" i="1"/>
  <c r="AG14" i="1"/>
  <c r="AC68" i="1"/>
  <c r="AC56" i="1"/>
  <c r="AC43" i="1"/>
  <c r="AC30" i="1"/>
  <c r="AC17" i="1"/>
  <c r="AC12" i="1"/>
  <c r="AC11" i="1"/>
  <c r="AC10" i="1"/>
  <c r="AC9" i="1"/>
  <c r="AC8" i="1"/>
  <c r="AD38" i="1" l="1"/>
  <c r="AD26" i="1"/>
  <c r="AD61" i="1"/>
  <c r="AD72" i="1"/>
  <c r="AD73" i="1"/>
  <c r="AD25" i="1"/>
  <c r="AD39" i="1"/>
  <c r="AD60" i="1"/>
  <c r="AD49" i="1"/>
  <c r="AD24" i="1"/>
  <c r="AD37" i="1"/>
  <c r="AD50" i="1"/>
  <c r="AC70" i="1"/>
  <c r="AC76" i="1"/>
  <c r="AC77" i="1"/>
  <c r="AC69" i="1"/>
  <c r="AC58" i="1"/>
  <c r="AC63" i="1"/>
  <c r="AC64" i="1"/>
  <c r="AC65" i="1"/>
  <c r="AC57" i="1"/>
  <c r="AC45" i="1"/>
  <c r="AC44" i="1"/>
  <c r="AC32" i="1"/>
  <c r="AC31" i="1"/>
  <c r="AC20" i="1"/>
  <c r="AC21" i="1"/>
  <c r="AC22" i="1"/>
  <c r="AC23" i="1"/>
  <c r="AC18" i="1"/>
  <c r="X14" i="1"/>
  <c r="X15" i="1"/>
  <c r="X16" i="1"/>
  <c r="X20" i="1"/>
  <c r="AD27" i="1" s="1"/>
  <c r="X30" i="1"/>
  <c r="AD36" i="1" s="1"/>
  <c r="X47" i="1"/>
  <c r="X60" i="1"/>
  <c r="X73" i="1"/>
  <c r="AD62" i="1" l="1"/>
  <c r="AD23" i="1"/>
  <c r="AD52" i="1"/>
  <c r="AD22" i="1"/>
  <c r="AD21" i="1"/>
  <c r="X71" i="1"/>
  <c r="X72" i="1"/>
  <c r="X74" i="1"/>
  <c r="X59" i="1"/>
  <c r="X61" i="1"/>
  <c r="AD65" i="1" s="1"/>
  <c r="X48" i="1"/>
  <c r="AD53" i="1" s="1"/>
  <c r="AD51" i="1"/>
  <c r="X29" i="1"/>
  <c r="X68" i="1"/>
  <c r="AD71" i="1" s="1"/>
  <c r="X67" i="1"/>
  <c r="AD70" i="1" s="1"/>
  <c r="X66" i="1"/>
  <c r="X55" i="1"/>
  <c r="AD59" i="1" s="1"/>
  <c r="X54" i="1"/>
  <c r="AD58" i="1" s="1"/>
  <c r="X53" i="1"/>
  <c r="AD57" i="1" s="1"/>
  <c r="X42" i="1"/>
  <c r="X41" i="1"/>
  <c r="AD46" i="1" s="1"/>
  <c r="X40" i="1"/>
  <c r="AD45" i="1" s="1"/>
  <c r="X39" i="1"/>
  <c r="X28" i="1"/>
  <c r="AD34" i="1" s="1"/>
  <c r="X27" i="1"/>
  <c r="X26" i="1"/>
  <c r="AD32" i="1" s="1"/>
  <c r="X25" i="1"/>
  <c r="X12" i="1"/>
  <c r="X13" i="1"/>
  <c r="AD20" i="1" s="1"/>
  <c r="AD18" i="1"/>
  <c r="Z22" i="1" l="1"/>
  <c r="AD9" i="1" s="1"/>
  <c r="AH24" i="3" s="1"/>
  <c r="AH32" i="3" s="1"/>
  <c r="AN10" i="3" s="1"/>
  <c r="AE9" i="1"/>
  <c r="AD44" i="1"/>
  <c r="AE10" i="1"/>
  <c r="AE8" i="1"/>
  <c r="AE11" i="1"/>
  <c r="AD75" i="1"/>
  <c r="AE12" i="1"/>
  <c r="AD63" i="1"/>
  <c r="AD47" i="1"/>
  <c r="AD48" i="1"/>
  <c r="AD35" i="1"/>
  <c r="AD74" i="1"/>
  <c r="AD69" i="1"/>
  <c r="AD64" i="1"/>
  <c r="AD76" i="1"/>
  <c r="AD33" i="1"/>
  <c r="AD77" i="1"/>
  <c r="AD40" i="1"/>
  <c r="AD31" i="1"/>
  <c r="AD19" i="1"/>
  <c r="Z50" i="1"/>
  <c r="AD11" i="1" s="1"/>
  <c r="AH26" i="3" s="1"/>
  <c r="AH34" i="3" s="1"/>
  <c r="AN12" i="3" s="1"/>
  <c r="Z36" i="1"/>
  <c r="AD10" i="1" s="1"/>
  <c r="AH25" i="3" s="1"/>
  <c r="AH33" i="3" s="1"/>
  <c r="AN11" i="3" s="1"/>
  <c r="Z63" i="1"/>
  <c r="Z8" i="1"/>
  <c r="AD8" i="1" s="1"/>
  <c r="AH23" i="3" s="1"/>
  <c r="AH31" i="3" s="1"/>
  <c r="AN9" i="3" s="1"/>
  <c r="AD78" i="1" l="1"/>
  <c r="AM13" i="1" s="1"/>
  <c r="AD66" i="1"/>
  <c r="AM12" i="1" s="1"/>
  <c r="AD54" i="1"/>
  <c r="AM11" i="1" s="1"/>
  <c r="AD41" i="1"/>
  <c r="AM10" i="1" s="1"/>
  <c r="AD28" i="1"/>
  <c r="AM9" i="1" s="1"/>
  <c r="AD12" i="1"/>
  <c r="AH27" i="3" s="1"/>
  <c r="AH35" i="3" s="1"/>
  <c r="AN13" i="3" s="1"/>
  <c r="AH8" i="1" l="1"/>
  <c r="AH10" i="1"/>
  <c r="AH9" i="1"/>
  <c r="AH14" i="1" l="1"/>
  <c r="AO9" i="1" s="1"/>
  <c r="AP9" i="1" s="1"/>
  <c r="AL9" i="3" s="1"/>
  <c r="AP9" i="3" s="1"/>
  <c r="AH15" i="1"/>
  <c r="AO10" i="1" s="1"/>
  <c r="AP10" i="1" s="1"/>
  <c r="AL10" i="3" s="1"/>
  <c r="AP10" i="3" s="1"/>
  <c r="AL10" i="4" s="1"/>
  <c r="AP10" i="4" s="1"/>
  <c r="AL10" i="5" s="1"/>
  <c r="AP10" i="5" s="1"/>
  <c r="AL10" i="6" s="1"/>
  <c r="AP10" i="6" s="1"/>
  <c r="AL10" i="7" s="1"/>
  <c r="AP10" i="7" s="1"/>
  <c r="AH17" i="1"/>
  <c r="AO12" i="1" s="1"/>
  <c r="AP12" i="1" s="1"/>
  <c r="AL12" i="3" s="1"/>
  <c r="AP12" i="3" s="1"/>
  <c r="AL12" i="4" s="1"/>
  <c r="AP12" i="4" s="1"/>
  <c r="AL12" i="5" s="1"/>
  <c r="AP12" i="5" s="1"/>
  <c r="AL12" i="6" s="1"/>
  <c r="AP12" i="6" s="1"/>
  <c r="AL12" i="7" s="1"/>
  <c r="AP12" i="7" s="1"/>
  <c r="AH16" i="1"/>
  <c r="AO11" i="1" s="1"/>
  <c r="AP11" i="1" s="1"/>
  <c r="AL11" i="3" s="1"/>
  <c r="AP11" i="3" s="1"/>
  <c r="AL11" i="4" s="1"/>
  <c r="AP11" i="4" s="1"/>
  <c r="AL11" i="5" s="1"/>
  <c r="AP11" i="5" s="1"/>
  <c r="AL11" i="6" s="1"/>
  <c r="AP11" i="6" s="1"/>
  <c r="AL11" i="7" s="1"/>
  <c r="AP11" i="7" s="1"/>
  <c r="AH18" i="1"/>
  <c r="AO13" i="1" s="1"/>
  <c r="AP13" i="1" s="1"/>
  <c r="AL13" i="3" s="1"/>
  <c r="AP13" i="3" s="1"/>
  <c r="AL13" i="4" s="1"/>
  <c r="AP13" i="4" s="1"/>
  <c r="AL13" i="5" s="1"/>
  <c r="AP13" i="5" s="1"/>
  <c r="AL13" i="6" s="1"/>
  <c r="AP13" i="6" s="1"/>
  <c r="AL13" i="7" s="1"/>
  <c r="AP13" i="7" s="1"/>
  <c r="AL9" i="4" l="1"/>
  <c r="AP9" i="4" s="1"/>
  <c r="AN17" i="3"/>
  <c r="AN18" i="3"/>
  <c r="AN19" i="3"/>
  <c r="AN16" i="3"/>
  <c r="AN20" i="3"/>
  <c r="AN19" i="1"/>
  <c r="AN20" i="1"/>
  <c r="AN16" i="1"/>
  <c r="AN18" i="1"/>
  <c r="AN17" i="1"/>
  <c r="AL9" i="5" l="1"/>
  <c r="AP9" i="5" s="1"/>
  <c r="AN20" i="4"/>
  <c r="AN16" i="4"/>
  <c r="AN17" i="4"/>
  <c r="AN18" i="4"/>
  <c r="AN19" i="4"/>
  <c r="AL9" i="6" l="1"/>
  <c r="AP9" i="6" s="1"/>
  <c r="AN18" i="5"/>
  <c r="AO18" i="5" s="1"/>
  <c r="AN16" i="5"/>
  <c r="AO16" i="5" s="1"/>
  <c r="AN20" i="5"/>
  <c r="AO20" i="5" s="1"/>
  <c r="AN19" i="5"/>
  <c r="AO19" i="5" s="1"/>
  <c r="AN17" i="5"/>
  <c r="AO17" i="5" s="1"/>
  <c r="AL9" i="7" l="1"/>
  <c r="AP9" i="7" s="1"/>
  <c r="AN19" i="6"/>
  <c r="AN18" i="6"/>
  <c r="AN17" i="6"/>
  <c r="AN20" i="6"/>
  <c r="AN16" i="6"/>
  <c r="AN19" i="7" l="1"/>
  <c r="AN20" i="7"/>
  <c r="AN17" i="7"/>
  <c r="AN18" i="7"/>
  <c r="AN16" i="7"/>
</calcChain>
</file>

<file path=xl/sharedStrings.xml><?xml version="1.0" encoding="utf-8"?>
<sst xmlns="http://schemas.openxmlformats.org/spreadsheetml/2006/main" count="1090" uniqueCount="122">
  <si>
    <t xml:space="preserve"> Woodinville Unit2449  (02449)</t>
  </si>
  <si>
    <t>Employee AweS.U.M. Report</t>
  </si>
  <si>
    <t xml:space="preserve"> AMC</t>
  </si>
  <si>
    <t xml:space="preserve"> 17640 138th Pl. NE</t>
  </si>
  <si>
    <t xml:space="preserve"> 98072-</t>
  </si>
  <si>
    <t>Sort By  Employee</t>
  </si>
  <si>
    <t xml:space="preserve"> UNITED STATES</t>
  </si>
  <si>
    <t>UPT</t>
  </si>
  <si>
    <t>Average Transaction</t>
  </si>
  <si>
    <t>Theatre Average:</t>
  </si>
  <si>
    <t>Total Sales</t>
  </si>
  <si>
    <t># of Transactions</t>
  </si>
  <si>
    <t>Employee Name</t>
  </si>
  <si>
    <t># of Units Sold</t>
  </si>
  <si>
    <t xml:space="preserve"> Woodinville, Washington</t>
  </si>
  <si>
    <t xml:space="preserve">Average </t>
  </si>
  <si>
    <t>Transaction</t>
  </si>
  <si>
    <t>Admin, AMC</t>
  </si>
  <si>
    <t>admin2, amc</t>
  </si>
  <si>
    <t>Administrator, RSM</t>
  </si>
  <si>
    <t xml:space="preserve">Albert, Rowan </t>
  </si>
  <si>
    <t>Alemayehu, Eyouel</t>
  </si>
  <si>
    <t>Allen, Wren</t>
  </si>
  <si>
    <t>Clemensen, Belle</t>
  </si>
  <si>
    <t>Cloud, Annette</t>
  </si>
  <si>
    <t>DaPra, Kylan</t>
  </si>
  <si>
    <t>Delelu, Samra</t>
  </si>
  <si>
    <t>Dick, Emilie</t>
  </si>
  <si>
    <t>Farmer, Kasey</t>
  </si>
  <si>
    <t>Gashu, Amanuel</t>
  </si>
  <si>
    <t>Gemmer, Jake</t>
  </si>
  <si>
    <t>Grover, Grover</t>
  </si>
  <si>
    <t>Hatch, Aidan</t>
  </si>
  <si>
    <t>Hill, Gabby</t>
  </si>
  <si>
    <t>Jackson, Parker</t>
  </si>
  <si>
    <t>Kelly, Ryan</t>
  </si>
  <si>
    <t>Koessler, Bayley</t>
  </si>
  <si>
    <t>Lopez, Ebony</t>
  </si>
  <si>
    <t>Lopez, Matthew</t>
  </si>
  <si>
    <t>Mccarty, Katelynn</t>
  </si>
  <si>
    <t>McChesney, Jack</t>
  </si>
  <si>
    <t>Miller, Taytem</t>
  </si>
  <si>
    <t>Mitchell, Gabe</t>
  </si>
  <si>
    <t>Montero, Rowan</t>
  </si>
  <si>
    <t>Ops, Prog</t>
  </si>
  <si>
    <t>Perez-Tellez, Damien</t>
  </si>
  <si>
    <t>Ryder, Erin</t>
  </si>
  <si>
    <t>Santaella, Adriana</t>
  </si>
  <si>
    <t>Wetsit, Karlos</t>
  </si>
  <si>
    <t xml:space="preserve">Woodke, Jeralyn </t>
  </si>
  <si>
    <t>Yandle, Chuck</t>
  </si>
  <si>
    <t>Zeller, Daniel</t>
  </si>
  <si>
    <t># Transactions</t>
  </si>
  <si>
    <t>1st</t>
  </si>
  <si>
    <t>2nd</t>
  </si>
  <si>
    <t>3rd</t>
  </si>
  <si>
    <t>Average Tranaction</t>
  </si>
  <si>
    <t>Scoreboard</t>
  </si>
  <si>
    <t>Bonus Points?</t>
  </si>
  <si>
    <t>THEATRE</t>
  </si>
  <si>
    <t>Previous Week</t>
  </si>
  <si>
    <t>Earned Points</t>
  </si>
  <si>
    <t>Bonus Points (Individual)</t>
  </si>
  <si>
    <t>Bonus Point Team Improvement</t>
  </si>
  <si>
    <t>Total Points</t>
  </si>
  <si>
    <t>Earned Points Ranking</t>
  </si>
  <si>
    <t>Total Bonus</t>
  </si>
  <si>
    <t>Winner For the Week</t>
  </si>
  <si>
    <t xml:space="preserve">Leaderboard </t>
  </si>
  <si>
    <t>First</t>
  </si>
  <si>
    <t>Second</t>
  </si>
  <si>
    <t>Third</t>
  </si>
  <si>
    <t>Fourth</t>
  </si>
  <si>
    <t>Fifth</t>
  </si>
  <si>
    <t>Taylor, Ronni</t>
  </si>
  <si>
    <t>Araya, Kidane</t>
  </si>
  <si>
    <t>Shteyngart, Jenna</t>
  </si>
  <si>
    <t>Zinn Krulewitch, Mari</t>
  </si>
  <si>
    <t>Chica</t>
  </si>
  <si>
    <t>Bonnie</t>
  </si>
  <si>
    <t>Freddy</t>
  </si>
  <si>
    <t>Foxy</t>
  </si>
  <si>
    <t>Krause, Daniel</t>
  </si>
  <si>
    <t>Pepper, Court</t>
  </si>
  <si>
    <t>Smith, Anders</t>
  </si>
  <si>
    <t>Business Date Range: 11/21/2025 to 11/27/2025</t>
  </si>
  <si>
    <t>Isreal, Zeal</t>
  </si>
  <si>
    <t>Team</t>
  </si>
  <si>
    <t>n</t>
  </si>
  <si>
    <t>$25.32</t>
  </si>
  <si>
    <t>Lingg, Beckett</t>
  </si>
  <si>
    <t>Last Week</t>
  </si>
  <si>
    <t>Bonus Point for Team Improvement?</t>
  </si>
  <si>
    <t>Balloon Boy</t>
  </si>
  <si>
    <t>ella</t>
  </si>
  <si>
    <t>lauren</t>
  </si>
  <si>
    <t>nick</t>
  </si>
  <si>
    <t>iris</t>
  </si>
  <si>
    <t>emily</t>
  </si>
  <si>
    <t>cam</t>
  </si>
  <si>
    <t>abby</t>
  </si>
  <si>
    <t>keira</t>
  </si>
  <si>
    <t>Business Date Range: 11/28/2025 to 12/4/2025</t>
  </si>
  <si>
    <t>Findley, Amanda</t>
  </si>
  <si>
    <t>Pepper, Courtney</t>
  </si>
  <si>
    <t>Ryder, Gavin</t>
  </si>
  <si>
    <t>Business Date Range: 12/5/2025 to 12/11/2025</t>
  </si>
  <si>
    <t>Lawson, Nick</t>
  </si>
  <si>
    <t>Carpenter, Iris</t>
  </si>
  <si>
    <t>Mead, Emily</t>
  </si>
  <si>
    <t>Way, Abby</t>
  </si>
  <si>
    <t>Business Date Range: 12/12/2025 to 12/18/2025</t>
  </si>
  <si>
    <t>$22.81</t>
  </si>
  <si>
    <t>Points</t>
  </si>
  <si>
    <t>Dellinger, Lauren</t>
  </si>
  <si>
    <t>Hall, Ella</t>
  </si>
  <si>
    <t>Parshall, Cameron</t>
  </si>
  <si>
    <t>Business Date Range: 12/19/2025 to 12/25/2025</t>
  </si>
  <si>
    <t>$25.39</t>
  </si>
  <si>
    <t>Hall, Keira</t>
  </si>
  <si>
    <t>Business Date Range: 12/26/2025 to 1/1/2026</t>
  </si>
  <si>
    <t>$23.93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</si>
</sst>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8"/>
      <name val="Arial"/>
    </font>
    <font>
      <b/>
      <sz val="14"/>
      <name val="Arial"/>
    </font>
    <font>
      <b/>
      <sz val="10"/>
      <name val="Arial"/>
    </font>
    <font>
      <b/>
      <sz val="9"/>
      <name val="Arial"/>
    </font>
    <font>
      <sz val="9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9">
    <xf numFmtId="0" fontId="0" fillId="0" borderId="0" xfId="0"/>
    <xf numFmtId="2" fontId="0" fillId="0" borderId="0" xfId="0" applyNumberFormat="1"/>
    <xf numFmtId="2" fontId="18" fillId="0" borderId="0" xfId="0" applyNumberFormat="1" applyFont="1" applyAlignment="1">
      <alignment vertical="top"/>
    </xf>
    <xf numFmtId="1" fontId="0" fillId="0" borderId="0" xfId="0" applyNumberFormat="1"/>
    <xf numFmtId="2" fontId="0" fillId="0" borderId="12" xfId="0" applyNumberFormat="1" applyBorder="1"/>
    <xf numFmtId="2" fontId="16" fillId="0" borderId="13" xfId="0" applyNumberFormat="1" applyFont="1" applyBorder="1" applyAlignment="1">
      <alignment horizontal="center"/>
    </xf>
    <xf numFmtId="2" fontId="16" fillId="0" borderId="0" xfId="0" applyNumberFormat="1" applyFont="1" applyAlignment="1">
      <alignment horizontal="center"/>
    </xf>
    <xf numFmtId="2" fontId="0" fillId="0" borderId="14" xfId="0" applyNumberFormat="1" applyBorder="1"/>
    <xf numFmtId="2" fontId="0" fillId="0" borderId="13" xfId="0" applyNumberFormat="1" applyBorder="1"/>
    <xf numFmtId="2" fontId="18" fillId="0" borderId="13" xfId="0" applyNumberFormat="1" applyFont="1" applyBorder="1" applyAlignment="1">
      <alignment vertical="top"/>
    </xf>
    <xf numFmtId="2" fontId="18" fillId="0" borderId="15" xfId="0" applyNumberFormat="1" applyFont="1" applyBorder="1" applyAlignment="1">
      <alignment vertical="top"/>
    </xf>
    <xf numFmtId="2" fontId="0" fillId="0" borderId="16" xfId="0" applyNumberFormat="1" applyBorder="1"/>
    <xf numFmtId="2" fontId="0" fillId="0" borderId="17" xfId="0" applyNumberFormat="1" applyBorder="1"/>
    <xf numFmtId="1" fontId="16" fillId="0" borderId="13" xfId="0" applyNumberFormat="1" applyFont="1" applyBorder="1"/>
    <xf numFmtId="1" fontId="0" fillId="0" borderId="14" xfId="0" applyNumberFormat="1" applyBorder="1"/>
    <xf numFmtId="1" fontId="16" fillId="0" borderId="15" xfId="0" applyNumberFormat="1" applyFont="1" applyBorder="1"/>
    <xf numFmtId="1" fontId="0" fillId="0" borderId="17" xfId="0" applyNumberFormat="1" applyBorder="1"/>
    <xf numFmtId="2" fontId="0" fillId="0" borderId="15" xfId="0" applyNumberFormat="1" applyBorder="1"/>
    <xf numFmtId="1" fontId="0" fillId="0" borderId="13" xfId="0" applyNumberFormat="1" applyBorder="1"/>
    <xf numFmtId="1" fontId="16" fillId="0" borderId="0" xfId="0" applyNumberFormat="1" applyFont="1"/>
    <xf numFmtId="1" fontId="16" fillId="0" borderId="16" xfId="0" applyNumberFormat="1" applyFont="1" applyBorder="1"/>
    <xf numFmtId="1" fontId="0" fillId="0" borderId="16" xfId="0" applyNumberFormat="1" applyBorder="1"/>
    <xf numFmtId="2" fontId="16" fillId="0" borderId="14" xfId="0" applyNumberFormat="1" applyFont="1" applyBorder="1"/>
    <xf numFmtId="2" fontId="16" fillId="0" borderId="10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4" xfId="0" applyNumberFormat="1" applyBorder="1" applyAlignment="1">
      <alignment horizontal="center"/>
    </xf>
    <xf numFmtId="1" fontId="16" fillId="0" borderId="12" xfId="0" applyNumberFormat="1" applyFont="1" applyBorder="1" applyAlignment="1">
      <alignment horizontal="center"/>
    </xf>
    <xf numFmtId="2" fontId="19" fillId="0" borderId="15" xfId="0" applyNumberFormat="1" applyFont="1" applyBorder="1" applyAlignment="1">
      <alignment vertical="top"/>
    </xf>
    <xf numFmtId="2" fontId="16" fillId="0" borderId="11" xfId="0" applyNumberFormat="1" applyFont="1" applyBorder="1" applyAlignment="1">
      <alignment horizontal="center"/>
    </xf>
    <xf numFmtId="49" fontId="20" fillId="0" borderId="0" xfId="0" applyNumberFormat="1" applyFont="1" applyAlignment="1">
      <alignment horizontal="left" vertical="top"/>
    </xf>
    <xf numFmtId="0" fontId="20" fillId="0" borderId="0" xfId="0" applyFont="1" applyAlignment="1">
      <alignment horizontal="left" vertical="top"/>
    </xf>
    <xf numFmtId="49" fontId="21" fillId="0" borderId="0" xfId="0" applyNumberFormat="1" applyFont="1" applyAlignment="1">
      <alignment horizontal="left" vertical="top"/>
    </xf>
    <xf numFmtId="0" fontId="21" fillId="0" borderId="0" xfId="0" applyFont="1" applyAlignment="1">
      <alignment horizontal="left" vertical="top"/>
    </xf>
    <xf numFmtId="49" fontId="22" fillId="0" borderId="0" xfId="0" applyNumberFormat="1" applyFont="1" applyAlignment="1">
      <alignment horizontal="left" vertical="top"/>
    </xf>
    <xf numFmtId="0" fontId="22" fillId="0" borderId="0" xfId="0" applyFont="1" applyAlignment="1">
      <alignment horizontal="left" vertical="top"/>
    </xf>
    <xf numFmtId="49" fontId="23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49" fontId="23" fillId="0" borderId="0" xfId="0" applyNumberFormat="1" applyFont="1" applyAlignment="1">
      <alignment horizontal="right" vertical="top"/>
    </xf>
    <xf numFmtId="0" fontId="23" fillId="0" borderId="0" xfId="0" applyFont="1" applyAlignment="1">
      <alignment horizontal="left" vertical="top"/>
    </xf>
    <xf numFmtId="49" fontId="23" fillId="0" borderId="0" xfId="0" applyNumberFormat="1" applyFont="1" applyAlignment="1">
      <alignment horizontal="left" vertical="top"/>
    </xf>
    <xf numFmtId="49" fontId="24" fillId="0" borderId="0" xfId="0" applyNumberFormat="1" applyFont="1" applyAlignment="1">
      <alignment horizontal="right" vertical="top"/>
    </xf>
    <xf numFmtId="0" fontId="24" fillId="0" borderId="0" xfId="0" applyFont="1" applyAlignment="1">
      <alignment horizontal="left" vertical="top"/>
    </xf>
    <xf numFmtId="49" fontId="24" fillId="0" borderId="0" xfId="0" applyNumberFormat="1" applyFont="1" applyAlignment="1">
      <alignment horizontal="left" vertical="top"/>
    </xf>
    <xf numFmtId="49" fontId="23" fillId="0" borderId="0" xfId="0" applyNumberFormat="1" applyFont="1" applyAlignment="1">
      <alignment vertical="top"/>
    </xf>
    <xf numFmtId="49" fontId="24" fillId="0" borderId="0" xfId="0" applyNumberFormat="1" applyFont="1" applyAlignment="1">
      <alignment vertical="top"/>
    </xf>
    <xf numFmtId="49" fontId="24" fillId="0" borderId="13" xfId="0" applyNumberFormat="1" applyFont="1" applyBorder="1" applyAlignment="1">
      <alignment vertical="top"/>
    </xf>
    <xf numFmtId="8" fontId="24" fillId="0" borderId="0" xfId="0" applyNumberFormat="1" applyFont="1" applyAlignment="1">
      <alignment horizontal="left" vertical="top"/>
    </xf>
    <xf numFmtId="8" fontId="24" fillId="0" borderId="0" xfId="0" applyNumberFormat="1" applyFont="1" applyAlignment="1">
      <alignment horizontal="right" vertical="top"/>
    </xf>
    <xf numFmtId="2" fontId="16" fillId="0" borderId="21" xfId="0" applyNumberFormat="1" applyFont="1" applyBorder="1"/>
    <xf numFmtId="1" fontId="0" fillId="0" borderId="22" xfId="0" applyNumberFormat="1" applyBorder="1"/>
    <xf numFmtId="2" fontId="16" fillId="0" borderId="23" xfId="0" applyNumberFormat="1" applyFont="1" applyBorder="1"/>
    <xf numFmtId="2" fontId="0" fillId="0" borderId="24" xfId="0" applyNumberFormat="1" applyBorder="1"/>
    <xf numFmtId="1" fontId="0" fillId="0" borderId="25" xfId="0" applyNumberFormat="1" applyBorder="1"/>
    <xf numFmtId="1" fontId="16" fillId="0" borderId="20" xfId="0" applyNumberFormat="1" applyFont="1" applyBorder="1" applyAlignment="1">
      <alignment horizontal="center"/>
    </xf>
    <xf numFmtId="2" fontId="16" fillId="0" borderId="18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/>
    </xf>
    <xf numFmtId="2" fontId="16" fillId="0" borderId="13" xfId="0" applyNumberFormat="1" applyFont="1" applyBorder="1"/>
    <xf numFmtId="2" fontId="16" fillId="0" borderId="15" xfId="0" applyNumberFormat="1" applyFont="1" applyBorder="1"/>
    <xf numFmtId="2" fontId="16" fillId="0" borderId="14" xfId="0" applyNumberFormat="1" applyFont="1" applyBorder="1" applyAlignment="1">
      <alignment horizontal="center"/>
    </xf>
    <xf numFmtId="0" fontId="24" fillId="0" borderId="0" xfId="0" applyFont="1" applyAlignment="1">
      <alignment horizontal="left" vertical="center"/>
    </xf>
    <xf numFmtId="8" fontId="24" fillId="0" borderId="0" xfId="0" applyNumberFormat="1" applyFont="1" applyAlignment="1">
      <alignment horizontal="left" vertical="center"/>
    </xf>
    <xf numFmtId="49" fontId="24" fillId="0" borderId="15" xfId="0" applyNumberFormat="1" applyFont="1" applyBorder="1" applyAlignment="1">
      <alignment vertical="top"/>
    </xf>
    <xf numFmtId="2" fontId="16" fillId="0" borderId="10" xfId="0" applyNumberFormat="1" applyFont="1" applyBorder="1" applyAlignment="1">
      <alignment horizontal="center"/>
    </xf>
    <xf numFmtId="2" fontId="16" fillId="0" borderId="12" xfId="0" applyNumberFormat="1" applyFont="1" applyBorder="1" applyAlignment="1">
      <alignment horizontal="center"/>
    </xf>
    <xf numFmtId="2" fontId="16" fillId="0" borderId="11" xfId="0" applyNumberFormat="1" applyFont="1" applyBorder="1" applyAlignment="1">
      <alignment horizontal="center"/>
    </xf>
    <xf numFmtId="1" fontId="16" fillId="0" borderId="10" xfId="0" applyNumberFormat="1" applyFon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78"/>
  <sheetViews>
    <sheetView topLeftCell="A4" zoomScale="80" zoomScaleNormal="80" workbookViewId="0">
      <selection activeCell="A53" sqref="A53"/>
    </sheetView>
  </sheetViews>
  <sheetFormatPr defaultColWidth="9.109375" defaultRowHeight="14.4" x14ac:dyDescent="0.3"/>
  <cols>
    <col min="1" max="1" width="21.5546875" customWidth="1"/>
    <col min="2" max="2" width="7.5546875" customWidth="1"/>
    <col min="3" max="3" width="3.44140625" customWidth="1"/>
    <col min="4" max="4" width="5.109375" customWidth="1"/>
    <col min="5" max="5" width="2.5546875" customWidth="1"/>
    <col min="6" max="6" width="3.6640625" customWidth="1"/>
    <col min="7" max="7" width="6" customWidth="1"/>
    <col min="8" max="8" width="6.88671875" customWidth="1"/>
    <col min="9" max="9" width="7.33203125" customWidth="1"/>
    <col min="10" max="10" width="4" customWidth="1"/>
    <col min="11" max="11" width="2.109375" customWidth="1"/>
    <col min="12" max="12" width="10.33203125" bestFit="1" customWidth="1"/>
    <col min="13" max="13" width="3" customWidth="1"/>
    <col min="14" max="14" width="3.88671875" customWidth="1"/>
    <col min="15" max="15" width="6.33203125" customWidth="1"/>
    <col min="16" max="16" width="5.6640625" bestFit="1" customWidth="1"/>
    <col min="17" max="17" width="9" customWidth="1"/>
    <col min="18" max="18" width="10.5546875" customWidth="1"/>
    <col min="19" max="19" width="10.6640625" customWidth="1"/>
    <col min="20" max="22" width="9.109375" style="1"/>
    <col min="23" max="23" width="19.33203125" style="1" bestFit="1" customWidth="1"/>
    <col min="24" max="24" width="15.5546875" style="1" bestFit="1" customWidth="1"/>
    <col min="25" max="25" width="18.33203125" style="1" bestFit="1" customWidth="1"/>
    <col min="26" max="26" width="21.33203125" style="1" bestFit="1" customWidth="1"/>
    <col min="27" max="28" width="9.109375" style="1"/>
    <col min="29" max="29" width="19.33203125" style="1" bestFit="1" customWidth="1"/>
    <col min="30" max="30" width="16.109375" style="1" customWidth="1"/>
    <col min="31" max="31" width="9.109375" style="3"/>
    <col min="32" max="32" width="9.109375" style="1"/>
    <col min="33" max="33" width="15" style="1" bestFit="1" customWidth="1"/>
    <col min="34" max="34" width="16.6640625" style="1" bestFit="1" customWidth="1"/>
    <col min="35" max="36" width="9.109375" style="1"/>
    <col min="37" max="37" width="15" style="1" bestFit="1" customWidth="1"/>
    <col min="38" max="38" width="14.44140625" style="1" bestFit="1" customWidth="1"/>
    <col min="39" max="39" width="23.5546875" style="1" bestFit="1" customWidth="1"/>
    <col min="40" max="40" width="30.109375" style="1" bestFit="1" customWidth="1"/>
    <col min="41" max="41" width="13.33203125" style="1" bestFit="1" customWidth="1"/>
    <col min="42" max="42" width="11.44140625" style="1" bestFit="1" customWidth="1"/>
    <col min="43" max="16384" width="9.109375" style="1"/>
  </cols>
  <sheetData>
    <row r="1" spans="1:42" ht="17.399999999999999" x14ac:dyDescent="0.3">
      <c r="A1" s="29" t="s">
        <v>2</v>
      </c>
      <c r="B1" s="30"/>
      <c r="F1" s="31" t="s">
        <v>1</v>
      </c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42" x14ac:dyDescent="0.3">
      <c r="A2" s="29" t="s">
        <v>0</v>
      </c>
      <c r="B2" s="30"/>
    </row>
    <row r="3" spans="1:42" x14ac:dyDescent="0.3">
      <c r="A3" s="29" t="s">
        <v>3</v>
      </c>
      <c r="B3" s="30"/>
    </row>
    <row r="4" spans="1:42" x14ac:dyDescent="0.3">
      <c r="A4" s="29" t="s">
        <v>14</v>
      </c>
      <c r="B4" s="30"/>
      <c r="F4" s="33" t="s">
        <v>85</v>
      </c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</row>
    <row r="5" spans="1:42" x14ac:dyDescent="0.3">
      <c r="A5" s="29" t="s">
        <v>4</v>
      </c>
      <c r="B5" s="30"/>
      <c r="F5" s="33" t="s">
        <v>5</v>
      </c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42" ht="15" thickBot="1" x14ac:dyDescent="0.35">
      <c r="A6" s="29" t="s">
        <v>6</v>
      </c>
      <c r="B6" s="30"/>
    </row>
    <row r="7" spans="1:42" x14ac:dyDescent="0.3">
      <c r="M7" s="35" t="s">
        <v>15</v>
      </c>
      <c r="N7" s="36"/>
      <c r="O7" s="36"/>
      <c r="P7" s="36"/>
      <c r="AC7" s="54" t="s">
        <v>87</v>
      </c>
      <c r="AD7" s="55" t="s">
        <v>7</v>
      </c>
      <c r="AE7" s="53" t="s">
        <v>88</v>
      </c>
      <c r="AG7" s="62" t="s">
        <v>67</v>
      </c>
      <c r="AH7" s="63"/>
      <c r="AK7" s="62" t="s">
        <v>57</v>
      </c>
      <c r="AL7" s="64"/>
      <c r="AM7" s="64"/>
      <c r="AN7" s="64"/>
      <c r="AO7" s="64"/>
      <c r="AP7" s="63"/>
    </row>
    <row r="8" spans="1:42" x14ac:dyDescent="0.3">
      <c r="I8" s="37" t="s">
        <v>7</v>
      </c>
      <c r="M8" s="35" t="s">
        <v>16</v>
      </c>
      <c r="N8" s="36"/>
      <c r="O8" s="36"/>
      <c r="P8" s="36"/>
      <c r="W8" s="62" t="s">
        <v>78</v>
      </c>
      <c r="X8" s="64"/>
      <c r="Y8" s="28" t="s">
        <v>56</v>
      </c>
      <c r="Z8" s="4">
        <f>(SUM(Y11:Y20)/SUM(X11:X20))</f>
        <v>2.6683203401842666</v>
      </c>
      <c r="AC8" s="48" t="str">
        <f>W8</f>
        <v>Chica</v>
      </c>
      <c r="AD8" s="1">
        <f>Z8</f>
        <v>2.6683203401842666</v>
      </c>
      <c r="AE8" s="49">
        <f>SUM(X11:X20)</f>
        <v>1411</v>
      </c>
      <c r="AG8" s="8" t="s">
        <v>53</v>
      </c>
      <c r="AH8" s="7" t="str">
        <f>INDEX($AC$8:$AC$12, MATCH(LARGE($AD$8:$AD$12, 1), $AD$8:$AD$12, 0))</f>
        <v>Freddy</v>
      </c>
      <c r="AK8" s="18"/>
      <c r="AL8" s="19" t="s">
        <v>60</v>
      </c>
      <c r="AM8" s="19" t="s">
        <v>62</v>
      </c>
      <c r="AN8" s="19" t="s">
        <v>63</v>
      </c>
      <c r="AO8" s="19" t="s">
        <v>61</v>
      </c>
      <c r="AP8" s="22" t="s">
        <v>64</v>
      </c>
    </row>
    <row r="9" spans="1:42" x14ac:dyDescent="0.3">
      <c r="D9" s="38"/>
      <c r="E9" s="38"/>
      <c r="F9" s="38"/>
      <c r="G9" s="39" t="s">
        <v>9</v>
      </c>
      <c r="I9" s="40">
        <v>2.68</v>
      </c>
      <c r="N9" s="41"/>
      <c r="O9" s="42" t="s">
        <v>89</v>
      </c>
      <c r="W9" s="5"/>
      <c r="X9" s="6"/>
      <c r="Z9" s="7"/>
      <c r="AC9" s="48" t="str">
        <f>W22</f>
        <v>Bonnie</v>
      </c>
      <c r="AD9" s="1">
        <f>Z22</f>
        <v>2.5670498084291187</v>
      </c>
      <c r="AE9" s="49">
        <f>SUM(X25:X34)</f>
        <v>522</v>
      </c>
      <c r="AG9" s="8" t="s">
        <v>54</v>
      </c>
      <c r="AH9" s="7" t="str">
        <f>INDEX($AC$8:$AC$12, MATCH(LARGE($AD$8:$AD$12, 2), $AD$8:$AD$12, 0))</f>
        <v>Balloon Boy</v>
      </c>
      <c r="AK9" s="13" t="str">
        <f>W8</f>
        <v>Chica</v>
      </c>
      <c r="AL9" s="19"/>
      <c r="AM9" s="3">
        <f>AD28</f>
        <v>1</v>
      </c>
      <c r="AN9" s="3"/>
      <c r="AO9" s="3">
        <f>AH14</f>
        <v>1</v>
      </c>
      <c r="AP9" s="14">
        <f>SUM(AL9:AO9)</f>
        <v>2</v>
      </c>
    </row>
    <row r="10" spans="1:42" x14ac:dyDescent="0.3">
      <c r="B10" s="38"/>
      <c r="C10" s="38"/>
      <c r="D10" s="39" t="s">
        <v>11</v>
      </c>
      <c r="W10" s="8"/>
      <c r="X10" s="24" t="s">
        <v>52</v>
      </c>
      <c r="Y10" s="24" t="s">
        <v>13</v>
      </c>
      <c r="Z10" s="25" t="s">
        <v>7</v>
      </c>
      <c r="AC10" s="48" t="str">
        <f>W36</f>
        <v>Freddy</v>
      </c>
      <c r="AD10" s="1">
        <f>Z36</f>
        <v>2.8501742160278747</v>
      </c>
      <c r="AE10" s="49">
        <f>SUM(X39:X48)</f>
        <v>574</v>
      </c>
      <c r="AG10" s="17" t="s">
        <v>55</v>
      </c>
      <c r="AH10" s="12" t="str">
        <f>INDEX($AC$8:$AC$12, MATCH(LARGE($AD$8:$AD$12, 3), $AD$8:$AD$12, 0))</f>
        <v>Chica</v>
      </c>
      <c r="AK10" s="13" t="str">
        <f>W22</f>
        <v>Bonnie</v>
      </c>
      <c r="AL10" s="19"/>
      <c r="AM10" s="3">
        <f>AD41</f>
        <v>0</v>
      </c>
      <c r="AN10" s="3"/>
      <c r="AO10" s="3">
        <f>AH15</f>
        <v>0</v>
      </c>
      <c r="AP10" s="14">
        <f t="shared" ref="AP10:AP13" si="0">SUM(AL10:AO10)</f>
        <v>0</v>
      </c>
    </row>
    <row r="11" spans="1:42" x14ac:dyDescent="0.3">
      <c r="A11" s="43" t="s">
        <v>12</v>
      </c>
      <c r="B11" s="38"/>
      <c r="C11" s="38"/>
      <c r="D11" s="38"/>
      <c r="G11" s="39" t="s">
        <v>13</v>
      </c>
      <c r="H11" s="38"/>
      <c r="I11" s="38"/>
      <c r="J11" s="38"/>
      <c r="K11" s="39" t="s">
        <v>10</v>
      </c>
      <c r="L11" s="38"/>
      <c r="M11" s="38"/>
      <c r="O11" s="38"/>
      <c r="P11" s="39" t="s">
        <v>7</v>
      </c>
      <c r="R11" s="38"/>
      <c r="S11" s="39" t="s">
        <v>8</v>
      </c>
      <c r="W11" s="9" t="s">
        <v>37</v>
      </c>
      <c r="X11" s="1">
        <f>VLOOKUP(W11,$A$12:$S$57, 4,FALSE)</f>
        <v>85</v>
      </c>
      <c r="Y11" s="1">
        <f>VLOOKUP(W11,$A$12:$S$57, 8,FALSE)</f>
        <v>236</v>
      </c>
      <c r="Z11" s="7">
        <f>VLOOKUP(W11,$A$12:$S$57, 16,FALSE)</f>
        <v>2.78</v>
      </c>
      <c r="AC11" s="48" t="str">
        <f>W50</f>
        <v>Balloon Boy</v>
      </c>
      <c r="AD11" s="1">
        <f>Z50</f>
        <v>2.699501246882793</v>
      </c>
      <c r="AE11" s="49">
        <f>SUM(X53:X61)</f>
        <v>802</v>
      </c>
      <c r="AK11" s="13" t="str">
        <f>W36</f>
        <v>Freddy</v>
      </c>
      <c r="AL11" s="19"/>
      <c r="AM11" s="3">
        <f>AD54</f>
        <v>2</v>
      </c>
      <c r="AN11" s="3"/>
      <c r="AO11" s="3">
        <f>AH16</f>
        <v>3</v>
      </c>
      <c r="AP11" s="14">
        <f t="shared" si="0"/>
        <v>5</v>
      </c>
    </row>
    <row r="12" spans="1:42" x14ac:dyDescent="0.3">
      <c r="A12" s="44" t="s">
        <v>17</v>
      </c>
      <c r="D12" s="40">
        <v>0</v>
      </c>
      <c r="E12" s="41"/>
      <c r="F12" s="41"/>
      <c r="G12" s="41"/>
      <c r="H12" s="42">
        <v>0</v>
      </c>
      <c r="K12" s="41"/>
      <c r="L12" s="42">
        <v>0</v>
      </c>
      <c r="O12" s="41"/>
      <c r="P12" s="42">
        <v>0</v>
      </c>
      <c r="S12" s="40">
        <v>0</v>
      </c>
      <c r="W12" s="9" t="s">
        <v>22</v>
      </c>
      <c r="X12" s="1">
        <f t="shared" ref="X12:X20" si="1">VLOOKUP(W12,$A$12:$S$57, 4,FALSE)</f>
        <v>261</v>
      </c>
      <c r="Y12" s="1">
        <f t="shared" ref="Y12:Y20" si="2">VLOOKUP(W12,$A$12:$S$57, 8,FALSE)</f>
        <v>697</v>
      </c>
      <c r="Z12" s="7">
        <f t="shared" ref="Z12:Z20" si="3">VLOOKUP(W12,$A$12:$S$57, 16,FALSE)</f>
        <v>2.67</v>
      </c>
      <c r="AC12" s="48" t="str">
        <f>W63</f>
        <v>Foxy</v>
      </c>
      <c r="AD12" s="1">
        <f>Z63</f>
        <v>2.616809116809117</v>
      </c>
      <c r="AE12" s="49">
        <f>SUM(X66:X74)</f>
        <v>702</v>
      </c>
      <c r="AK12" s="13" t="str">
        <f>W50</f>
        <v>Balloon Boy</v>
      </c>
      <c r="AL12" s="19"/>
      <c r="AM12" s="3">
        <f>AD66</f>
        <v>0</v>
      </c>
      <c r="AN12" s="3"/>
      <c r="AO12" s="3">
        <f>AH17</f>
        <v>2</v>
      </c>
      <c r="AP12" s="14">
        <f t="shared" si="0"/>
        <v>2</v>
      </c>
    </row>
    <row r="13" spans="1:42" ht="15" thickBot="1" x14ac:dyDescent="0.35">
      <c r="A13" s="44" t="s">
        <v>18</v>
      </c>
      <c r="D13" s="40">
        <v>0</v>
      </c>
      <c r="E13" s="41"/>
      <c r="F13" s="41"/>
      <c r="G13" s="41"/>
      <c r="H13" s="42">
        <v>0</v>
      </c>
      <c r="K13" s="41"/>
      <c r="L13" s="42">
        <v>0</v>
      </c>
      <c r="O13" s="41"/>
      <c r="P13" s="42">
        <v>0</v>
      </c>
      <c r="S13" s="40">
        <v>0</v>
      </c>
      <c r="W13" s="45" t="s">
        <v>75</v>
      </c>
      <c r="X13" s="1">
        <f t="shared" si="1"/>
        <v>325</v>
      </c>
      <c r="Y13" s="1">
        <f t="shared" si="2"/>
        <v>865</v>
      </c>
      <c r="Z13" s="7">
        <f t="shared" si="3"/>
        <v>2.66</v>
      </c>
      <c r="AC13" s="50" t="s">
        <v>59</v>
      </c>
      <c r="AD13" s="51">
        <f>I9</f>
        <v>2.68</v>
      </c>
      <c r="AE13" s="52">
        <f>SUM(D12:D55)</f>
        <v>4011</v>
      </c>
      <c r="AG13" s="65" t="s">
        <v>65</v>
      </c>
      <c r="AH13" s="66"/>
      <c r="AK13" s="15" t="str">
        <f>W63</f>
        <v>Foxy</v>
      </c>
      <c r="AL13" s="20"/>
      <c r="AM13" s="21">
        <f>AD78</f>
        <v>2</v>
      </c>
      <c r="AN13" s="21"/>
      <c r="AO13" s="21">
        <f>AH18</f>
        <v>0</v>
      </c>
      <c r="AP13" s="16">
        <f t="shared" si="0"/>
        <v>2</v>
      </c>
    </row>
    <row r="14" spans="1:42" x14ac:dyDescent="0.3">
      <c r="A14" s="44" t="s">
        <v>19</v>
      </c>
      <c r="D14" s="40">
        <v>0</v>
      </c>
      <c r="E14" s="41"/>
      <c r="F14" s="41"/>
      <c r="G14" s="41"/>
      <c r="H14" s="42">
        <v>0</v>
      </c>
      <c r="K14" s="41"/>
      <c r="L14" s="42">
        <v>0</v>
      </c>
      <c r="O14" s="41"/>
      <c r="P14" s="42">
        <v>0</v>
      </c>
      <c r="S14" s="40">
        <v>0</v>
      </c>
      <c r="W14" s="9" t="s">
        <v>30</v>
      </c>
      <c r="X14" s="1">
        <f t="shared" si="1"/>
        <v>61</v>
      </c>
      <c r="Y14" s="1">
        <f t="shared" si="2"/>
        <v>163</v>
      </c>
      <c r="Z14" s="7">
        <f t="shared" si="3"/>
        <v>2.67</v>
      </c>
      <c r="AG14" s="13" t="str">
        <f>W8</f>
        <v>Chica</v>
      </c>
      <c r="AH14" s="14">
        <f>IF(AG14=$AH$8,3,IF(AG14=$AH$9,2,IF(AG14=$AH$10,1,0)))</f>
        <v>1</v>
      </c>
    </row>
    <row r="15" spans="1:42" x14ac:dyDescent="0.3">
      <c r="A15" s="44" t="s">
        <v>20</v>
      </c>
      <c r="D15" s="40">
        <v>235</v>
      </c>
      <c r="E15" s="41"/>
      <c r="F15" s="41"/>
      <c r="G15" s="41"/>
      <c r="H15" s="42">
        <v>676</v>
      </c>
      <c r="K15" s="41"/>
      <c r="L15" s="46">
        <v>6740.44</v>
      </c>
      <c r="O15" s="41"/>
      <c r="P15" s="42">
        <v>2.88</v>
      </c>
      <c r="S15" s="47">
        <v>28.68</v>
      </c>
      <c r="W15" s="9" t="s">
        <v>34</v>
      </c>
      <c r="X15" s="1">
        <f t="shared" si="1"/>
        <v>49</v>
      </c>
      <c r="Y15" s="1">
        <f t="shared" si="2"/>
        <v>117</v>
      </c>
      <c r="Z15" s="7">
        <f t="shared" si="3"/>
        <v>2.39</v>
      </c>
      <c r="AG15" s="13" t="str">
        <f>W22</f>
        <v>Bonnie</v>
      </c>
      <c r="AH15" s="14">
        <f t="shared" ref="AH15:AH18" si="4">IF(AG15=$AH$8,3,IF(AG15=$AH$9,2,IF(AG15=$AH$10,1,0)))</f>
        <v>0</v>
      </c>
      <c r="AM15" s="62" t="s">
        <v>68</v>
      </c>
      <c r="AN15" s="63"/>
    </row>
    <row r="16" spans="1:42" x14ac:dyDescent="0.3">
      <c r="A16" s="44" t="s">
        <v>21</v>
      </c>
      <c r="D16" s="40">
        <v>145</v>
      </c>
      <c r="E16" s="41"/>
      <c r="F16" s="41"/>
      <c r="G16" s="41"/>
      <c r="H16" s="42">
        <v>334</v>
      </c>
      <c r="K16" s="41"/>
      <c r="L16" s="46">
        <v>3250.72</v>
      </c>
      <c r="O16" s="41"/>
      <c r="P16" s="42">
        <v>2.2999999999999998</v>
      </c>
      <c r="S16" s="47">
        <v>22.42</v>
      </c>
      <c r="W16" s="9" t="s">
        <v>39</v>
      </c>
      <c r="X16" s="1">
        <f t="shared" si="1"/>
        <v>212</v>
      </c>
      <c r="Y16" s="1">
        <f t="shared" si="2"/>
        <v>589</v>
      </c>
      <c r="Z16" s="7">
        <f t="shared" si="3"/>
        <v>2.78</v>
      </c>
      <c r="AG16" s="13" t="str">
        <f>W36</f>
        <v>Freddy</v>
      </c>
      <c r="AH16" s="14">
        <f t="shared" si="4"/>
        <v>3</v>
      </c>
      <c r="AM16" s="8" t="s">
        <v>69</v>
      </c>
      <c r="AN16" s="7" t="str">
        <f>INDEX($AK$9:$AK$13, MATCH(LARGE($AP$9:$AP$13, 1), $AP$9:$AP$13, 0))</f>
        <v>Freddy</v>
      </c>
    </row>
    <row r="17" spans="1:40" x14ac:dyDescent="0.3">
      <c r="A17" s="44" t="s">
        <v>22</v>
      </c>
      <c r="D17" s="40">
        <v>261</v>
      </c>
      <c r="E17" s="41"/>
      <c r="F17" s="41"/>
      <c r="G17" s="41"/>
      <c r="H17" s="42">
        <v>697</v>
      </c>
      <c r="K17" s="41"/>
      <c r="L17" s="46">
        <v>6541.47</v>
      </c>
      <c r="O17" s="41"/>
      <c r="P17" s="42">
        <v>2.67</v>
      </c>
      <c r="S17" s="47">
        <v>25.06</v>
      </c>
      <c r="W17" s="9" t="s">
        <v>43</v>
      </c>
      <c r="X17" s="1">
        <f t="shared" si="1"/>
        <v>199</v>
      </c>
      <c r="Y17" s="1">
        <f t="shared" si="2"/>
        <v>506</v>
      </c>
      <c r="Z17" s="7">
        <f t="shared" si="3"/>
        <v>2.54</v>
      </c>
      <c r="AC17" s="23" t="str">
        <f>W8</f>
        <v>Chica</v>
      </c>
      <c r="AD17" s="26" t="s">
        <v>58</v>
      </c>
      <c r="AG17" s="13" t="str">
        <f>W50</f>
        <v>Balloon Boy</v>
      </c>
      <c r="AH17" s="14">
        <f t="shared" si="4"/>
        <v>2</v>
      </c>
      <c r="AM17" s="8" t="s">
        <v>70</v>
      </c>
      <c r="AN17" s="7" t="str">
        <f>INDEX($AK$9:$AK$13, MATCH(LARGE($AP$9:$AP$13, 2), $AP$9:$AP$13, 0))</f>
        <v>Chica</v>
      </c>
    </row>
    <row r="18" spans="1:40" x14ac:dyDescent="0.3">
      <c r="A18" s="44" t="s">
        <v>75</v>
      </c>
      <c r="D18" s="40">
        <v>325</v>
      </c>
      <c r="E18" s="41"/>
      <c r="F18" s="41"/>
      <c r="G18" s="41"/>
      <c r="H18" s="42">
        <v>865</v>
      </c>
      <c r="K18" s="41"/>
      <c r="L18" s="46">
        <v>8198.9699999999993</v>
      </c>
      <c r="O18" s="41"/>
      <c r="P18" s="42">
        <v>2.66</v>
      </c>
      <c r="S18" s="47">
        <v>25.23</v>
      </c>
      <c r="W18" s="9" t="s">
        <v>83</v>
      </c>
      <c r="X18" s="1">
        <f t="shared" si="1"/>
        <v>83</v>
      </c>
      <c r="Y18" s="1">
        <f t="shared" si="2"/>
        <v>235</v>
      </c>
      <c r="Z18" s="7">
        <f t="shared" si="3"/>
        <v>2.83</v>
      </c>
      <c r="AC18" s="9" t="str">
        <f>W11</f>
        <v>Lopez, Ebony</v>
      </c>
      <c r="AD18" s="14">
        <f t="shared" ref="AD18:AD27" si="5">IF(VLOOKUP(AC18,$W:$Z,2,FALSE)&gt;=100,
    IF(VLOOKUP(AC18,$W:$Z,4,FALSE)&gt;$AD$13,
        IF(VLOOKUP(AC18,$W:$Z,4,FALSE)&gt;=$AD$13+0.5,3,
            IF(VLOOKUP(AC18,$W:$Z,4,FALSE)&gt;=$AD$13+0.25,2,1)
        ),
    0),
0)</f>
        <v>0</v>
      </c>
      <c r="AG18" s="15" t="str">
        <f>W63</f>
        <v>Foxy</v>
      </c>
      <c r="AH18" s="16">
        <f t="shared" si="4"/>
        <v>0</v>
      </c>
      <c r="AM18" s="8" t="s">
        <v>71</v>
      </c>
      <c r="AN18" s="7" t="str">
        <f>INDEX($AK$9:$AK$13, MATCH(LARGE($AP$9:$AP$13, 3), $AP$9:$AP$13, 0))</f>
        <v>Chica</v>
      </c>
    </row>
    <row r="19" spans="1:40" x14ac:dyDescent="0.3">
      <c r="A19" s="44" t="s">
        <v>23</v>
      </c>
      <c r="D19" s="40">
        <v>93</v>
      </c>
      <c r="E19" s="41"/>
      <c r="F19" s="41"/>
      <c r="G19" s="41"/>
      <c r="H19" s="42">
        <v>283</v>
      </c>
      <c r="K19" s="41"/>
      <c r="L19" s="46">
        <v>2694.83</v>
      </c>
      <c r="O19" s="41"/>
      <c r="P19" s="42">
        <v>3.04</v>
      </c>
      <c r="S19" s="47">
        <v>28.98</v>
      </c>
      <c r="W19" s="9" t="s">
        <v>74</v>
      </c>
      <c r="X19" s="1">
        <f t="shared" si="1"/>
        <v>136</v>
      </c>
      <c r="Y19" s="1">
        <f t="shared" si="2"/>
        <v>357</v>
      </c>
      <c r="Z19" s="7">
        <f t="shared" si="3"/>
        <v>2.63</v>
      </c>
      <c r="AC19" s="9" t="str">
        <f>W12</f>
        <v>Allen, Wren</v>
      </c>
      <c r="AD19" s="14">
        <f t="shared" si="5"/>
        <v>0</v>
      </c>
      <c r="AM19" s="8" t="s">
        <v>72</v>
      </c>
      <c r="AN19" s="7" t="str">
        <f>INDEX($AK$9:$AK$13, MATCH(LARGE($AP$9:$AP$13, 4), $AP$9:$AP$13, 0))</f>
        <v>Chica</v>
      </c>
    </row>
    <row r="20" spans="1:40" x14ac:dyDescent="0.3">
      <c r="A20" s="44" t="s">
        <v>24</v>
      </c>
      <c r="D20" s="40">
        <v>0</v>
      </c>
      <c r="E20" s="41"/>
      <c r="F20" s="41"/>
      <c r="G20" s="41"/>
      <c r="H20" s="42">
        <v>0</v>
      </c>
      <c r="K20" s="41"/>
      <c r="L20" s="42">
        <v>0</v>
      </c>
      <c r="O20" s="41"/>
      <c r="P20" s="42">
        <v>0</v>
      </c>
      <c r="S20" s="40">
        <v>0</v>
      </c>
      <c r="W20" s="10" t="s">
        <v>17</v>
      </c>
      <c r="X20" s="11">
        <f t="shared" si="1"/>
        <v>0</v>
      </c>
      <c r="Y20" s="11">
        <f t="shared" si="2"/>
        <v>0</v>
      </c>
      <c r="Z20" s="12">
        <f t="shared" si="3"/>
        <v>0</v>
      </c>
      <c r="AC20" s="9" t="str">
        <f t="shared" ref="AC20:AC25" si="6">W13</f>
        <v>Araya, Kidane</v>
      </c>
      <c r="AD20" s="14">
        <f t="shared" si="5"/>
        <v>0</v>
      </c>
      <c r="AM20" s="17" t="s">
        <v>73</v>
      </c>
      <c r="AN20" s="12" t="str">
        <f>INDEX($AK$9:$AK$13, MATCH(LARGE($AP$9:$AP$13, 5), $AP$9:$AP$13, 0))</f>
        <v>Bonnie</v>
      </c>
    </row>
    <row r="21" spans="1:40" x14ac:dyDescent="0.3">
      <c r="A21" s="44" t="s">
        <v>25</v>
      </c>
      <c r="D21" s="40">
        <v>51</v>
      </c>
      <c r="E21" s="41"/>
      <c r="F21" s="41"/>
      <c r="G21" s="41"/>
      <c r="H21" s="42">
        <v>138</v>
      </c>
      <c r="K21" s="41"/>
      <c r="L21" s="46">
        <v>1285.71</v>
      </c>
      <c r="O21" s="41"/>
      <c r="P21" s="42">
        <v>2.71</v>
      </c>
      <c r="S21" s="47">
        <v>25.21</v>
      </c>
      <c r="AC21" s="9" t="str">
        <f t="shared" si="6"/>
        <v>Gemmer, Jake</v>
      </c>
      <c r="AD21" s="14">
        <f t="shared" si="5"/>
        <v>0</v>
      </c>
    </row>
    <row r="22" spans="1:40" x14ac:dyDescent="0.3">
      <c r="A22" s="44" t="s">
        <v>26</v>
      </c>
      <c r="D22" s="40">
        <v>0</v>
      </c>
      <c r="E22" s="41"/>
      <c r="F22" s="41"/>
      <c r="G22" s="41"/>
      <c r="H22" s="42">
        <v>0</v>
      </c>
      <c r="K22" s="41"/>
      <c r="L22" s="42">
        <v>0</v>
      </c>
      <c r="O22" s="41"/>
      <c r="P22" s="42">
        <v>0</v>
      </c>
      <c r="S22" s="40">
        <v>0</v>
      </c>
      <c r="W22" s="62" t="s">
        <v>79</v>
      </c>
      <c r="X22" s="64"/>
      <c r="Y22" s="28" t="s">
        <v>7</v>
      </c>
      <c r="Z22" s="4">
        <f>(SUM(Y25:Y34)/SUM(X25:X34))</f>
        <v>2.5670498084291187</v>
      </c>
      <c r="AC22" s="9" t="str">
        <f t="shared" si="6"/>
        <v>Jackson, Parker</v>
      </c>
      <c r="AD22" s="14">
        <f t="shared" si="5"/>
        <v>0</v>
      </c>
    </row>
    <row r="23" spans="1:40" x14ac:dyDescent="0.3">
      <c r="A23" s="44" t="s">
        <v>27</v>
      </c>
      <c r="D23" s="40">
        <v>89</v>
      </c>
      <c r="E23" s="41"/>
      <c r="F23" s="41"/>
      <c r="G23" s="41"/>
      <c r="H23" s="42">
        <v>234</v>
      </c>
      <c r="K23" s="41"/>
      <c r="L23" s="46">
        <v>2188.61</v>
      </c>
      <c r="O23" s="41"/>
      <c r="P23" s="42">
        <v>2.63</v>
      </c>
      <c r="S23" s="47">
        <v>24.59</v>
      </c>
      <c r="W23" s="8"/>
      <c r="Z23" s="7"/>
      <c r="AC23" s="9" t="str">
        <f t="shared" si="6"/>
        <v>Mccarty, Katelynn</v>
      </c>
      <c r="AD23" s="14">
        <f t="shared" si="5"/>
        <v>1</v>
      </c>
    </row>
    <row r="24" spans="1:40" x14ac:dyDescent="0.3">
      <c r="A24" s="44" t="s">
        <v>28</v>
      </c>
      <c r="D24" s="40">
        <v>52</v>
      </c>
      <c r="E24" s="41"/>
      <c r="F24" s="41"/>
      <c r="G24" s="41"/>
      <c r="H24" s="42">
        <v>122</v>
      </c>
      <c r="K24" s="41"/>
      <c r="L24" s="46">
        <v>1157.0899999999999</v>
      </c>
      <c r="O24" s="41"/>
      <c r="P24" s="42">
        <v>2.35</v>
      </c>
      <c r="S24" s="47">
        <v>22.25</v>
      </c>
      <c r="W24" s="8"/>
      <c r="X24" s="24" t="s">
        <v>52</v>
      </c>
      <c r="Y24" s="24" t="s">
        <v>13</v>
      </c>
      <c r="Z24" s="25" t="s">
        <v>7</v>
      </c>
      <c r="AC24" s="9" t="str">
        <f t="shared" si="6"/>
        <v>Montero, Rowan</v>
      </c>
      <c r="AD24" s="14">
        <f t="shared" si="5"/>
        <v>0</v>
      </c>
    </row>
    <row r="25" spans="1:40" x14ac:dyDescent="0.3">
      <c r="A25" s="44" t="s">
        <v>29</v>
      </c>
      <c r="D25" s="40">
        <v>34</v>
      </c>
      <c r="E25" s="41"/>
      <c r="F25" s="41"/>
      <c r="G25" s="41"/>
      <c r="H25" s="42">
        <v>87</v>
      </c>
      <c r="K25" s="41"/>
      <c r="L25" s="46">
        <v>932.88</v>
      </c>
      <c r="O25" s="41"/>
      <c r="P25" s="42">
        <v>2.56</v>
      </c>
      <c r="S25" s="47">
        <v>27.44</v>
      </c>
      <c r="W25" s="9" t="s">
        <v>51</v>
      </c>
      <c r="X25" s="1">
        <f>VLOOKUP(W25,$A$12:$S$57, 4,FALSE)</f>
        <v>35</v>
      </c>
      <c r="Y25" s="1">
        <f>VLOOKUP(W25,$A$12:$S$57, 8,FALSE)</f>
        <v>82</v>
      </c>
      <c r="Z25" s="7">
        <f>VLOOKUP(W25,$A$12:$S$57, 16,FALSE)</f>
        <v>2.34</v>
      </c>
      <c r="AC25" s="9" t="str">
        <f t="shared" si="6"/>
        <v>Pepper, Court</v>
      </c>
      <c r="AD25" s="14">
        <f t="shared" si="5"/>
        <v>0</v>
      </c>
    </row>
    <row r="26" spans="1:40" x14ac:dyDescent="0.3">
      <c r="A26" s="44" t="s">
        <v>30</v>
      </c>
      <c r="D26" s="40">
        <v>61</v>
      </c>
      <c r="E26" s="41"/>
      <c r="F26" s="41"/>
      <c r="G26" s="41"/>
      <c r="H26" s="42">
        <v>163</v>
      </c>
      <c r="K26" s="41"/>
      <c r="L26" s="46">
        <v>1577.16</v>
      </c>
      <c r="O26" s="41"/>
      <c r="P26" s="42">
        <v>2.67</v>
      </c>
      <c r="S26" s="47">
        <v>25.86</v>
      </c>
      <c r="W26" s="9" t="s">
        <v>27</v>
      </c>
      <c r="X26" s="1">
        <f t="shared" ref="X26:X28" si="7">VLOOKUP(W26,$A$12:$S$57, 4,FALSE)</f>
        <v>89</v>
      </c>
      <c r="Y26" s="1">
        <f t="shared" ref="Y26:Y33" si="8">VLOOKUP(W26,$A$12:$S$57, 8,FALSE)</f>
        <v>234</v>
      </c>
      <c r="Z26" s="7">
        <f t="shared" ref="Z26:Z33" si="9">VLOOKUP(W26,$A$12:$S$57, 16,FALSE)</f>
        <v>2.63</v>
      </c>
      <c r="AC26" s="9" t="str">
        <f>W19</f>
        <v>Taylor, Ronni</v>
      </c>
      <c r="AD26" s="14">
        <f t="shared" si="5"/>
        <v>0</v>
      </c>
    </row>
    <row r="27" spans="1:40" x14ac:dyDescent="0.3">
      <c r="A27" s="44" t="s">
        <v>31</v>
      </c>
      <c r="D27" s="40">
        <v>0</v>
      </c>
      <c r="E27" s="41"/>
      <c r="F27" s="41"/>
      <c r="G27" s="41"/>
      <c r="H27" s="42">
        <v>0</v>
      </c>
      <c r="K27" s="41"/>
      <c r="L27" s="42">
        <v>0</v>
      </c>
      <c r="O27" s="41"/>
      <c r="P27" s="42">
        <v>0</v>
      </c>
      <c r="S27" s="40">
        <v>0</v>
      </c>
      <c r="W27" s="9" t="s">
        <v>28</v>
      </c>
      <c r="X27" s="1">
        <f t="shared" si="7"/>
        <v>52</v>
      </c>
      <c r="Y27" s="1">
        <f t="shared" si="8"/>
        <v>122</v>
      </c>
      <c r="Z27" s="7">
        <f t="shared" si="9"/>
        <v>2.35</v>
      </c>
      <c r="AC27" s="9" t="str">
        <f>W20</f>
        <v>Admin, AMC</v>
      </c>
      <c r="AD27" s="14">
        <f t="shared" si="5"/>
        <v>0</v>
      </c>
    </row>
    <row r="28" spans="1:40" x14ac:dyDescent="0.3">
      <c r="A28" s="44" t="s">
        <v>32</v>
      </c>
      <c r="D28" s="40">
        <v>81</v>
      </c>
      <c r="E28" s="41"/>
      <c r="F28" s="41"/>
      <c r="G28" s="41"/>
      <c r="H28" s="42">
        <v>214</v>
      </c>
      <c r="K28" s="41"/>
      <c r="L28" s="46">
        <v>1973.27</v>
      </c>
      <c r="O28" s="41"/>
      <c r="P28" s="42">
        <v>2.64</v>
      </c>
      <c r="S28" s="47">
        <v>24.36</v>
      </c>
      <c r="W28" s="9" t="s">
        <v>29</v>
      </c>
      <c r="X28" s="1">
        <f t="shared" si="7"/>
        <v>34</v>
      </c>
      <c r="Y28" s="1">
        <f t="shared" si="8"/>
        <v>87</v>
      </c>
      <c r="Z28" s="7">
        <f t="shared" si="9"/>
        <v>2.56</v>
      </c>
      <c r="AC28" s="27" t="s">
        <v>66</v>
      </c>
      <c r="AD28" s="16">
        <f>SUM(AD18:AD27)</f>
        <v>1</v>
      </c>
    </row>
    <row r="29" spans="1:40" x14ac:dyDescent="0.3">
      <c r="A29" s="44" t="s">
        <v>33</v>
      </c>
      <c r="D29" s="40">
        <v>105</v>
      </c>
      <c r="E29" s="41"/>
      <c r="F29" s="41"/>
      <c r="G29" s="41"/>
      <c r="H29" s="42">
        <v>298</v>
      </c>
      <c r="K29" s="41"/>
      <c r="L29" s="46">
        <v>2752.74</v>
      </c>
      <c r="O29" s="41"/>
      <c r="P29" s="42">
        <v>2.84</v>
      </c>
      <c r="S29" s="47">
        <v>26.22</v>
      </c>
      <c r="W29" s="9" t="s">
        <v>31</v>
      </c>
      <c r="X29" s="1">
        <f t="shared" ref="X29:X34" si="10">VLOOKUP(W29,$A$12:$S$57, 4,FALSE)</f>
        <v>0</v>
      </c>
      <c r="Y29" s="1">
        <f t="shared" si="8"/>
        <v>0</v>
      </c>
      <c r="Z29" s="7">
        <f t="shared" si="9"/>
        <v>0</v>
      </c>
      <c r="AD29" s="3"/>
    </row>
    <row r="30" spans="1:40" x14ac:dyDescent="0.3">
      <c r="A30" s="44" t="s">
        <v>86</v>
      </c>
      <c r="D30" s="40">
        <v>73</v>
      </c>
      <c r="E30" s="41"/>
      <c r="F30" s="41"/>
      <c r="G30" s="41"/>
      <c r="H30" s="42">
        <v>199</v>
      </c>
      <c r="K30" s="41"/>
      <c r="L30" s="46">
        <v>1721.93</v>
      </c>
      <c r="O30" s="41"/>
      <c r="P30" s="42">
        <v>2.73</v>
      </c>
      <c r="S30" s="47">
        <v>23.59</v>
      </c>
      <c r="W30" s="9" t="s">
        <v>32</v>
      </c>
      <c r="X30" s="1">
        <f t="shared" si="10"/>
        <v>81</v>
      </c>
      <c r="Y30" s="1">
        <f t="shared" si="8"/>
        <v>214</v>
      </c>
      <c r="Z30" s="7">
        <f t="shared" si="9"/>
        <v>2.64</v>
      </c>
      <c r="AC30" s="23" t="str">
        <f>W22</f>
        <v>Bonnie</v>
      </c>
      <c r="AD30" s="26" t="s">
        <v>58</v>
      </c>
    </row>
    <row r="31" spans="1:40" x14ac:dyDescent="0.3">
      <c r="A31" s="44" t="s">
        <v>34</v>
      </c>
      <c r="D31" s="40">
        <v>49</v>
      </c>
      <c r="E31" s="41"/>
      <c r="F31" s="41"/>
      <c r="G31" s="41"/>
      <c r="H31" s="42">
        <v>117</v>
      </c>
      <c r="K31" s="41"/>
      <c r="L31" s="46">
        <v>1131.97</v>
      </c>
      <c r="O31" s="41"/>
      <c r="P31" s="42">
        <v>2.39</v>
      </c>
      <c r="S31" s="47">
        <v>23.1</v>
      </c>
      <c r="W31" s="9" t="s">
        <v>41</v>
      </c>
      <c r="X31" s="1">
        <f t="shared" si="10"/>
        <v>67</v>
      </c>
      <c r="Y31" s="1">
        <f t="shared" si="8"/>
        <v>174</v>
      </c>
      <c r="Z31" s="7">
        <f t="shared" si="9"/>
        <v>2.6</v>
      </c>
      <c r="AC31" s="9" t="str">
        <f>W25</f>
        <v>Zeller, Daniel</v>
      </c>
      <c r="AD31" s="14">
        <f t="shared" ref="AD31:AD40" si="11">IF(VLOOKUP(AC31,$W:$Z,2,FALSE)&gt;=100,
    IF(VLOOKUP(AC31,$W:$Z,4,FALSE)&gt;$AD$13,
        IF(VLOOKUP(AC31,$W:$Z,4,FALSE)&gt;=$AD$13+0.5,3,
            IF(VLOOKUP(AC31,$W:$Z,4,FALSE)&gt;=$AD$13+0.25,2,1)
        ),
    0),
0)</f>
        <v>0</v>
      </c>
    </row>
    <row r="32" spans="1:40" x14ac:dyDescent="0.3">
      <c r="A32" s="44" t="s">
        <v>35</v>
      </c>
      <c r="D32" s="40">
        <v>25</v>
      </c>
      <c r="E32" s="41"/>
      <c r="F32" s="41"/>
      <c r="G32" s="41"/>
      <c r="H32" s="42">
        <v>197</v>
      </c>
      <c r="K32" s="41"/>
      <c r="L32" s="46">
        <v>1878.42</v>
      </c>
      <c r="O32" s="41"/>
      <c r="P32" s="42">
        <v>7.88</v>
      </c>
      <c r="S32" s="47">
        <v>75.14</v>
      </c>
      <c r="W32" s="9" t="s">
        <v>46</v>
      </c>
      <c r="X32" s="1">
        <f t="shared" si="10"/>
        <v>82</v>
      </c>
      <c r="Y32" s="1">
        <f t="shared" si="8"/>
        <v>198</v>
      </c>
      <c r="Z32" s="7">
        <f t="shared" si="9"/>
        <v>2.41</v>
      </c>
      <c r="AC32" s="9" t="str">
        <f>W26</f>
        <v>Dick, Emilie</v>
      </c>
      <c r="AD32" s="14">
        <f t="shared" si="11"/>
        <v>0</v>
      </c>
    </row>
    <row r="33" spans="1:30" x14ac:dyDescent="0.3">
      <c r="A33" s="44" t="s">
        <v>36</v>
      </c>
      <c r="D33" s="40">
        <v>90</v>
      </c>
      <c r="E33" s="41"/>
      <c r="F33" s="41"/>
      <c r="G33" s="41"/>
      <c r="H33" s="42">
        <v>241</v>
      </c>
      <c r="K33" s="41"/>
      <c r="L33" s="46">
        <v>2292.42</v>
      </c>
      <c r="O33" s="41"/>
      <c r="P33" s="42">
        <v>2.68</v>
      </c>
      <c r="S33" s="47">
        <v>25.47</v>
      </c>
      <c r="W33" s="9" t="s">
        <v>50</v>
      </c>
      <c r="X33" s="1">
        <f t="shared" si="10"/>
        <v>82</v>
      </c>
      <c r="Y33" s="1">
        <f t="shared" si="8"/>
        <v>229</v>
      </c>
      <c r="Z33" s="7">
        <f t="shared" si="9"/>
        <v>2.79</v>
      </c>
      <c r="AC33" s="9" t="str">
        <f t="shared" ref="AC33:AC40" si="12">W27</f>
        <v>Farmer, Kasey</v>
      </c>
      <c r="AD33" s="14">
        <f t="shared" si="11"/>
        <v>0</v>
      </c>
    </row>
    <row r="34" spans="1:30" x14ac:dyDescent="0.3">
      <c r="A34" s="44" t="s">
        <v>82</v>
      </c>
      <c r="D34" s="40">
        <v>196</v>
      </c>
      <c r="E34" s="41"/>
      <c r="F34" s="41"/>
      <c r="G34" s="41"/>
      <c r="H34" s="42">
        <v>533</v>
      </c>
      <c r="K34" s="41"/>
      <c r="L34" s="46">
        <v>5040.03</v>
      </c>
      <c r="O34" s="41"/>
      <c r="P34" s="42">
        <v>2.72</v>
      </c>
      <c r="S34" s="47">
        <v>25.71</v>
      </c>
      <c r="W34" s="10" t="s">
        <v>17</v>
      </c>
      <c r="X34" s="11">
        <f t="shared" si="10"/>
        <v>0</v>
      </c>
      <c r="Y34" s="11">
        <f t="shared" ref="Y34" si="13">VLOOKUP(W34,$A$12:$S$57, 8,FALSE)</f>
        <v>0</v>
      </c>
      <c r="Z34" s="12">
        <f t="shared" ref="Z34" si="14">VLOOKUP(W34,$A$12:$S$57, 16,FALSE)</f>
        <v>0</v>
      </c>
      <c r="AC34" s="9" t="str">
        <f t="shared" si="12"/>
        <v>Gashu, Amanuel</v>
      </c>
      <c r="AD34" s="14">
        <f t="shared" si="11"/>
        <v>0</v>
      </c>
    </row>
    <row r="35" spans="1:30" x14ac:dyDescent="0.3">
      <c r="A35" s="44" t="s">
        <v>90</v>
      </c>
      <c r="D35" s="40">
        <v>0</v>
      </c>
      <c r="E35" s="41"/>
      <c r="F35" s="41"/>
      <c r="G35" s="41"/>
      <c r="H35" s="42">
        <v>0</v>
      </c>
      <c r="K35" s="41"/>
      <c r="L35" s="42">
        <v>0</v>
      </c>
      <c r="O35" s="41"/>
      <c r="P35" s="42">
        <v>0</v>
      </c>
      <c r="S35" s="40">
        <v>0</v>
      </c>
      <c r="AC35" s="9" t="str">
        <f t="shared" si="12"/>
        <v>Grover, Grover</v>
      </c>
      <c r="AD35" s="14">
        <f t="shared" si="11"/>
        <v>0</v>
      </c>
    </row>
    <row r="36" spans="1:30" x14ac:dyDescent="0.3">
      <c r="A36" s="44" t="s">
        <v>37</v>
      </c>
      <c r="D36" s="40">
        <v>85</v>
      </c>
      <c r="E36" s="41"/>
      <c r="F36" s="41"/>
      <c r="G36" s="41"/>
      <c r="H36" s="42">
        <v>236</v>
      </c>
      <c r="K36" s="41"/>
      <c r="L36" s="46">
        <v>2164.9299999999998</v>
      </c>
      <c r="O36" s="41"/>
      <c r="P36" s="42">
        <v>2.78</v>
      </c>
      <c r="S36" s="47">
        <v>25.47</v>
      </c>
      <c r="W36" s="62" t="s">
        <v>80</v>
      </c>
      <c r="X36" s="64"/>
      <c r="Y36" s="28" t="s">
        <v>7</v>
      </c>
      <c r="Z36" s="4">
        <f>(SUM(Y39:Y48)/SUM(X39:X48))</f>
        <v>2.8501742160278747</v>
      </c>
      <c r="AC36" s="9" t="str">
        <f t="shared" si="12"/>
        <v>Hatch, Aidan</v>
      </c>
      <c r="AD36" s="14">
        <f t="shared" si="11"/>
        <v>0</v>
      </c>
    </row>
    <row r="37" spans="1:30" x14ac:dyDescent="0.3">
      <c r="A37" s="44" t="s">
        <v>38</v>
      </c>
      <c r="D37" s="40">
        <v>12</v>
      </c>
      <c r="E37" s="41"/>
      <c r="F37" s="41"/>
      <c r="G37" s="41"/>
      <c r="H37" s="42">
        <v>41</v>
      </c>
      <c r="K37" s="41"/>
      <c r="L37" s="46">
        <v>352.4</v>
      </c>
      <c r="O37" s="41"/>
      <c r="P37" s="42">
        <v>3.42</v>
      </c>
      <c r="S37" s="47">
        <v>29.37</v>
      </c>
      <c r="W37" s="8"/>
      <c r="Z37" s="7"/>
      <c r="AC37" s="9" t="str">
        <f t="shared" si="12"/>
        <v>Miller, Taytem</v>
      </c>
      <c r="AD37" s="14">
        <f t="shared" si="11"/>
        <v>0</v>
      </c>
    </row>
    <row r="38" spans="1:30" x14ac:dyDescent="0.3">
      <c r="A38" s="44" t="s">
        <v>39</v>
      </c>
      <c r="D38" s="40">
        <v>212</v>
      </c>
      <c r="E38" s="41"/>
      <c r="F38" s="41"/>
      <c r="G38" s="41"/>
      <c r="H38" s="42">
        <v>589</v>
      </c>
      <c r="K38" s="41"/>
      <c r="L38" s="46">
        <v>5535.71</v>
      </c>
      <c r="O38" s="41"/>
      <c r="P38" s="42">
        <v>2.78</v>
      </c>
      <c r="S38" s="47">
        <v>26.11</v>
      </c>
      <c r="U38" s="9"/>
      <c r="W38" s="8"/>
      <c r="X38" s="24" t="s">
        <v>52</v>
      </c>
      <c r="Y38" s="24" t="s">
        <v>13</v>
      </c>
      <c r="Z38" s="25" t="s">
        <v>7</v>
      </c>
      <c r="AC38" s="9" t="str">
        <f t="shared" si="12"/>
        <v>Ryder, Erin</v>
      </c>
      <c r="AD38" s="14">
        <f t="shared" si="11"/>
        <v>0</v>
      </c>
    </row>
    <row r="39" spans="1:30" x14ac:dyDescent="0.3">
      <c r="A39" s="44" t="s">
        <v>40</v>
      </c>
      <c r="D39" s="40">
        <v>164</v>
      </c>
      <c r="E39" s="41"/>
      <c r="F39" s="41"/>
      <c r="G39" s="41"/>
      <c r="H39" s="42">
        <v>418</v>
      </c>
      <c r="K39" s="41"/>
      <c r="L39" s="46">
        <v>3763.76</v>
      </c>
      <c r="O39" s="41"/>
      <c r="P39" s="42">
        <v>2.5499999999999998</v>
      </c>
      <c r="S39" s="47">
        <v>22.95</v>
      </c>
      <c r="W39" s="9" t="s">
        <v>25</v>
      </c>
      <c r="X39" s="1">
        <f>VLOOKUP(W39,$A$12:$S$57, 4,FALSE)</f>
        <v>51</v>
      </c>
      <c r="Y39" s="1">
        <f>VLOOKUP(W39,$A$12:$S$57, 8,FALSE)</f>
        <v>138</v>
      </c>
      <c r="Z39" s="7">
        <f>VLOOKUP(W39,$A$12:$S$57, 16,FALSE)</f>
        <v>2.71</v>
      </c>
      <c r="AC39" s="9" t="str">
        <f t="shared" si="12"/>
        <v>Yandle, Chuck</v>
      </c>
      <c r="AD39" s="14">
        <f t="shared" si="11"/>
        <v>0</v>
      </c>
    </row>
    <row r="40" spans="1:30" x14ac:dyDescent="0.3">
      <c r="A40" s="44" t="s">
        <v>41</v>
      </c>
      <c r="D40" s="40">
        <v>67</v>
      </c>
      <c r="E40" s="41"/>
      <c r="F40" s="41"/>
      <c r="G40" s="41"/>
      <c r="H40" s="42">
        <v>174</v>
      </c>
      <c r="K40" s="41"/>
      <c r="L40" s="46">
        <v>1689.84</v>
      </c>
      <c r="O40" s="41"/>
      <c r="P40" s="42">
        <v>2.6</v>
      </c>
      <c r="S40" s="47">
        <v>25.22</v>
      </c>
      <c r="W40" s="45" t="s">
        <v>20</v>
      </c>
      <c r="X40" s="1">
        <f t="shared" ref="X40:X48" si="15">VLOOKUP(W40,$A$12:$S$57, 4,FALSE)</f>
        <v>235</v>
      </c>
      <c r="Y40" s="1">
        <f t="shared" ref="Y40:Y48" si="16">VLOOKUP(W40,$A$12:$S$57, 8,FALSE)</f>
        <v>676</v>
      </c>
      <c r="Z40" s="7">
        <f t="shared" ref="Z40:Z48" si="17">VLOOKUP(W40,$A$12:$S$57, 16,FALSE)</f>
        <v>2.88</v>
      </c>
      <c r="AC40" s="9" t="str">
        <f t="shared" si="12"/>
        <v>Admin, AMC</v>
      </c>
      <c r="AD40" s="14">
        <f t="shared" si="11"/>
        <v>0</v>
      </c>
    </row>
    <row r="41" spans="1:30" x14ac:dyDescent="0.3">
      <c r="A41" s="44" t="s">
        <v>42</v>
      </c>
      <c r="D41" s="40">
        <v>65</v>
      </c>
      <c r="E41" s="41"/>
      <c r="F41" s="41"/>
      <c r="G41" s="41"/>
      <c r="H41" s="42">
        <v>167</v>
      </c>
      <c r="K41" s="41"/>
      <c r="L41" s="46">
        <v>1600.25</v>
      </c>
      <c r="O41" s="41"/>
      <c r="P41" s="42">
        <v>2.57</v>
      </c>
      <c r="S41" s="47">
        <v>24.62</v>
      </c>
      <c r="W41" s="45" t="s">
        <v>23</v>
      </c>
      <c r="X41" s="1">
        <f t="shared" si="15"/>
        <v>93</v>
      </c>
      <c r="Y41" s="1">
        <f t="shared" si="16"/>
        <v>283</v>
      </c>
      <c r="Z41" s="7">
        <f t="shared" si="17"/>
        <v>3.04</v>
      </c>
      <c r="AC41" s="27" t="s">
        <v>66</v>
      </c>
      <c r="AD41" s="16">
        <f>SUM(AD31:AD40)</f>
        <v>0</v>
      </c>
    </row>
    <row r="42" spans="1:30" x14ac:dyDescent="0.3">
      <c r="A42" s="44" t="s">
        <v>43</v>
      </c>
      <c r="D42" s="40">
        <v>199</v>
      </c>
      <c r="E42" s="41"/>
      <c r="F42" s="41"/>
      <c r="G42" s="41"/>
      <c r="H42" s="42">
        <v>506</v>
      </c>
      <c r="K42" s="41"/>
      <c r="L42" s="46">
        <v>4794.63</v>
      </c>
      <c r="O42" s="41"/>
      <c r="P42" s="42">
        <v>2.54</v>
      </c>
      <c r="S42" s="47">
        <v>24.09</v>
      </c>
      <c r="W42" s="9" t="s">
        <v>24</v>
      </c>
      <c r="X42" s="1">
        <f t="shared" si="15"/>
        <v>0</v>
      </c>
      <c r="Y42" s="1">
        <f t="shared" si="16"/>
        <v>0</v>
      </c>
      <c r="Z42" s="7">
        <f t="shared" si="17"/>
        <v>0</v>
      </c>
      <c r="AD42" s="3"/>
    </row>
    <row r="43" spans="1:30" x14ac:dyDescent="0.3">
      <c r="A43" s="44" t="s">
        <v>44</v>
      </c>
      <c r="D43" s="40">
        <v>0</v>
      </c>
      <c r="E43" s="41"/>
      <c r="F43" s="41"/>
      <c r="G43" s="41"/>
      <c r="H43" s="42">
        <v>0</v>
      </c>
      <c r="K43" s="41"/>
      <c r="L43" s="42">
        <v>0</v>
      </c>
      <c r="O43" s="41"/>
      <c r="P43" s="42">
        <v>0</v>
      </c>
      <c r="S43" s="40">
        <v>0</v>
      </c>
      <c r="W43" s="9" t="s">
        <v>33</v>
      </c>
      <c r="X43" s="1">
        <f t="shared" si="15"/>
        <v>105</v>
      </c>
      <c r="Y43" s="1">
        <f t="shared" si="16"/>
        <v>298</v>
      </c>
      <c r="Z43" s="7">
        <f t="shared" si="17"/>
        <v>2.84</v>
      </c>
      <c r="AC43" s="23" t="str">
        <f>W36</f>
        <v>Freddy</v>
      </c>
      <c r="AD43" s="26" t="s">
        <v>58</v>
      </c>
    </row>
    <row r="44" spans="1:30" x14ac:dyDescent="0.3">
      <c r="A44" s="44" t="s">
        <v>83</v>
      </c>
      <c r="D44" s="40">
        <v>83</v>
      </c>
      <c r="E44" s="41"/>
      <c r="F44" s="41"/>
      <c r="G44" s="41"/>
      <c r="H44" s="42">
        <v>235</v>
      </c>
      <c r="K44" s="41"/>
      <c r="L44" s="46">
        <v>2127.9899999999998</v>
      </c>
      <c r="O44" s="41"/>
      <c r="P44" s="42">
        <v>2.83</v>
      </c>
      <c r="S44" s="47">
        <v>25.64</v>
      </c>
      <c r="W44" s="45" t="s">
        <v>36</v>
      </c>
      <c r="X44" s="1">
        <f t="shared" si="15"/>
        <v>90</v>
      </c>
      <c r="Y44" s="1">
        <f t="shared" si="16"/>
        <v>241</v>
      </c>
      <c r="Z44" s="7">
        <f t="shared" si="17"/>
        <v>2.68</v>
      </c>
      <c r="AC44" s="9" t="str">
        <f>W39</f>
        <v>DaPra, Kylan</v>
      </c>
      <c r="AD44" s="14">
        <f t="shared" ref="AD44:AD53" si="18">IF(VLOOKUP(AC44,$W:$Z,2,FALSE)&gt;=100,
    IF(VLOOKUP(AC44,$W:$Z,4,FALSE)&gt;$AD$13,
        IF(VLOOKUP(AC44,$W:$Z,4,FALSE)&gt;=$AD$13+0.5,3,
            IF(VLOOKUP(AC44,$W:$Z,4,FALSE)&gt;=$AD$13+0.25,2,1)
        ),
    0),
0)</f>
        <v>0</v>
      </c>
    </row>
    <row r="45" spans="1:30" x14ac:dyDescent="0.3">
      <c r="A45" s="44" t="s">
        <v>45</v>
      </c>
      <c r="D45" s="40">
        <v>101</v>
      </c>
      <c r="E45" s="41"/>
      <c r="F45" s="41"/>
      <c r="G45" s="41"/>
      <c r="H45" s="42">
        <v>248</v>
      </c>
      <c r="K45" s="41"/>
      <c r="L45" s="46">
        <v>2372.23</v>
      </c>
      <c r="O45" s="41"/>
      <c r="P45" s="42">
        <v>2.46</v>
      </c>
      <c r="S45" s="47">
        <v>23.49</v>
      </c>
      <c r="W45" s="45" t="s">
        <v>48</v>
      </c>
      <c r="X45" s="1">
        <f t="shared" si="15"/>
        <v>0</v>
      </c>
      <c r="Y45" s="1">
        <f t="shared" si="16"/>
        <v>0</v>
      </c>
      <c r="Z45" s="7">
        <f t="shared" si="17"/>
        <v>0</v>
      </c>
      <c r="AC45" s="9" t="str">
        <f>W40</f>
        <v xml:space="preserve">Albert, Rowan </v>
      </c>
      <c r="AD45" s="14">
        <f t="shared" si="18"/>
        <v>1</v>
      </c>
    </row>
    <row r="46" spans="1:30" x14ac:dyDescent="0.3">
      <c r="A46" s="44" t="s">
        <v>46</v>
      </c>
      <c r="D46" s="40">
        <v>82</v>
      </c>
      <c r="E46" s="41"/>
      <c r="F46" s="41"/>
      <c r="G46" s="41"/>
      <c r="H46" s="42">
        <v>198</v>
      </c>
      <c r="K46" s="41"/>
      <c r="L46" s="46">
        <v>1871.14</v>
      </c>
      <c r="O46" s="41"/>
      <c r="P46" s="42">
        <v>2.41</v>
      </c>
      <c r="S46" s="47">
        <v>22.82</v>
      </c>
      <c r="W46" s="9" t="s">
        <v>17</v>
      </c>
      <c r="X46" s="1">
        <f t="shared" si="15"/>
        <v>0</v>
      </c>
      <c r="Y46" s="1">
        <f t="shared" si="16"/>
        <v>0</v>
      </c>
      <c r="Z46" s="7">
        <f t="shared" si="17"/>
        <v>0</v>
      </c>
      <c r="AC46" s="9" t="str">
        <f t="shared" ref="AC46:AC53" si="19">W41</f>
        <v>Clemensen, Belle</v>
      </c>
      <c r="AD46" s="14">
        <f t="shared" si="18"/>
        <v>0</v>
      </c>
    </row>
    <row r="47" spans="1:30" x14ac:dyDescent="0.3">
      <c r="A47" s="44" t="s">
        <v>47</v>
      </c>
      <c r="D47" s="40">
        <v>128</v>
      </c>
      <c r="E47" s="41"/>
      <c r="F47" s="41"/>
      <c r="G47" s="41"/>
      <c r="H47" s="42">
        <v>327</v>
      </c>
      <c r="K47" s="41"/>
      <c r="L47" s="46">
        <v>3110.89</v>
      </c>
      <c r="O47" s="41"/>
      <c r="P47" s="42">
        <v>2.5499999999999998</v>
      </c>
      <c r="S47" s="47">
        <v>24.3</v>
      </c>
      <c r="W47" s="9" t="s">
        <v>17</v>
      </c>
      <c r="X47" s="1">
        <f t="shared" si="15"/>
        <v>0</v>
      </c>
      <c r="Y47" s="1">
        <f t="shared" si="16"/>
        <v>0</v>
      </c>
      <c r="Z47" s="7">
        <f t="shared" si="17"/>
        <v>0</v>
      </c>
      <c r="AC47" s="9" t="str">
        <f t="shared" si="19"/>
        <v>Cloud, Annette</v>
      </c>
      <c r="AD47" s="14">
        <f t="shared" si="18"/>
        <v>0</v>
      </c>
    </row>
    <row r="48" spans="1:30" x14ac:dyDescent="0.3">
      <c r="A48" s="44" t="s">
        <v>76</v>
      </c>
      <c r="D48" s="40">
        <v>148</v>
      </c>
      <c r="E48" s="41"/>
      <c r="F48" s="41"/>
      <c r="G48" s="41"/>
      <c r="H48" s="42">
        <v>392</v>
      </c>
      <c r="K48" s="41"/>
      <c r="L48" s="46">
        <v>3850.15</v>
      </c>
      <c r="O48" s="41"/>
      <c r="P48" s="42">
        <v>2.65</v>
      </c>
      <c r="S48" s="47">
        <v>26.01</v>
      </c>
      <c r="W48" s="10" t="s">
        <v>17</v>
      </c>
      <c r="X48" s="11">
        <f t="shared" si="15"/>
        <v>0</v>
      </c>
      <c r="Y48" s="11">
        <f t="shared" si="16"/>
        <v>0</v>
      </c>
      <c r="Z48" s="12">
        <f t="shared" si="17"/>
        <v>0</v>
      </c>
      <c r="AC48" s="9" t="str">
        <f t="shared" si="19"/>
        <v>Hill, Gabby</v>
      </c>
      <c r="AD48" s="14">
        <f t="shared" si="18"/>
        <v>1</v>
      </c>
    </row>
    <row r="49" spans="1:30" x14ac:dyDescent="0.3">
      <c r="A49" s="44" t="s">
        <v>84</v>
      </c>
      <c r="D49" s="40">
        <v>136</v>
      </c>
      <c r="E49" s="41"/>
      <c r="F49" s="41"/>
      <c r="G49" s="41"/>
      <c r="H49" s="42">
        <v>337</v>
      </c>
      <c r="K49" s="41"/>
      <c r="L49" s="46">
        <v>3043.32</v>
      </c>
      <c r="O49" s="41"/>
      <c r="P49" s="42">
        <v>2.48</v>
      </c>
      <c r="S49" s="47">
        <v>22.38</v>
      </c>
      <c r="AC49" s="9" t="str">
        <f t="shared" si="19"/>
        <v>Koessler, Bayley</v>
      </c>
      <c r="AD49" s="14">
        <f t="shared" si="18"/>
        <v>0</v>
      </c>
    </row>
    <row r="50" spans="1:30" x14ac:dyDescent="0.3">
      <c r="A50" s="44" t="s">
        <v>74</v>
      </c>
      <c r="D50" s="40">
        <v>136</v>
      </c>
      <c r="E50" s="41"/>
      <c r="F50" s="41"/>
      <c r="G50" s="41"/>
      <c r="H50" s="42">
        <v>357</v>
      </c>
      <c r="K50" s="41"/>
      <c r="L50" s="46">
        <v>3475.08</v>
      </c>
      <c r="O50" s="41"/>
      <c r="P50" s="42">
        <v>2.63</v>
      </c>
      <c r="S50" s="47">
        <v>25.55</v>
      </c>
      <c r="W50" s="62" t="s">
        <v>93</v>
      </c>
      <c r="X50" s="64"/>
      <c r="Y50" s="28" t="s">
        <v>7</v>
      </c>
      <c r="Z50" s="4">
        <f>(SUM(Y53:Y61)/SUM(X53:X61))</f>
        <v>2.699501246882793</v>
      </c>
      <c r="AC50" s="9" t="str">
        <f t="shared" si="19"/>
        <v>Wetsit, Karlos</v>
      </c>
      <c r="AD50" s="14">
        <f t="shared" si="18"/>
        <v>0</v>
      </c>
    </row>
    <row r="51" spans="1:30" x14ac:dyDescent="0.3">
      <c r="A51" s="44" t="s">
        <v>48</v>
      </c>
      <c r="D51" s="40">
        <v>0</v>
      </c>
      <c r="E51" s="41"/>
      <c r="F51" s="41"/>
      <c r="G51" s="41"/>
      <c r="H51" s="42">
        <v>0</v>
      </c>
      <c r="K51" s="41"/>
      <c r="L51" s="42">
        <v>0</v>
      </c>
      <c r="O51" s="41"/>
      <c r="P51" s="42">
        <v>0</v>
      </c>
      <c r="S51" s="40">
        <v>0</v>
      </c>
      <c r="W51" s="8"/>
      <c r="Z51" s="7"/>
      <c r="AC51" s="9" t="str">
        <f t="shared" si="19"/>
        <v>Admin, AMC</v>
      </c>
      <c r="AD51" s="14">
        <f t="shared" si="18"/>
        <v>0</v>
      </c>
    </row>
    <row r="52" spans="1:30" x14ac:dyDescent="0.3">
      <c r="A52" s="44" t="s">
        <v>49</v>
      </c>
      <c r="D52" s="40">
        <v>156</v>
      </c>
      <c r="E52" s="41"/>
      <c r="F52" s="41"/>
      <c r="G52" s="41"/>
      <c r="H52" s="42">
        <v>435</v>
      </c>
      <c r="K52" s="41"/>
      <c r="L52" s="46">
        <v>4029.67</v>
      </c>
      <c r="O52" s="41"/>
      <c r="P52" s="42">
        <v>2.79</v>
      </c>
      <c r="S52" s="47">
        <v>25.83</v>
      </c>
      <c r="W52" s="8"/>
      <c r="X52" s="24" t="s">
        <v>52</v>
      </c>
      <c r="Y52" s="24" t="s">
        <v>13</v>
      </c>
      <c r="Z52" s="25" t="s">
        <v>7</v>
      </c>
      <c r="AC52" s="9" t="str">
        <f t="shared" si="19"/>
        <v>Admin, AMC</v>
      </c>
      <c r="AD52" s="14">
        <f t="shared" si="18"/>
        <v>0</v>
      </c>
    </row>
    <row r="53" spans="1:30" x14ac:dyDescent="0.3">
      <c r="A53" s="44" t="s">
        <v>50</v>
      </c>
      <c r="D53" s="40">
        <v>82</v>
      </c>
      <c r="E53" s="41"/>
      <c r="F53" s="41"/>
      <c r="G53" s="41"/>
      <c r="H53" s="42">
        <v>229</v>
      </c>
      <c r="K53" s="41"/>
      <c r="L53" s="46">
        <v>2123.2800000000002</v>
      </c>
      <c r="O53" s="41"/>
      <c r="P53" s="42">
        <v>2.79</v>
      </c>
      <c r="S53" s="47">
        <v>25.89</v>
      </c>
      <c r="W53" s="9" t="s">
        <v>35</v>
      </c>
      <c r="X53" s="1">
        <f>VLOOKUP(W53,$A$12:$S$57, 4,FALSE)</f>
        <v>25</v>
      </c>
      <c r="Y53" s="1">
        <f>VLOOKUP(W53,$A$12:$S$57, 8,FALSE)</f>
        <v>197</v>
      </c>
      <c r="Z53" s="7">
        <f>VLOOKUP(W53,$A$12:$S$57, 16,FALSE)</f>
        <v>7.88</v>
      </c>
      <c r="AC53" s="9" t="str">
        <f t="shared" si="19"/>
        <v>Admin, AMC</v>
      </c>
      <c r="AD53" s="14">
        <f t="shared" si="18"/>
        <v>0</v>
      </c>
    </row>
    <row r="54" spans="1:30" x14ac:dyDescent="0.3">
      <c r="A54" s="44" t="s">
        <v>51</v>
      </c>
      <c r="D54" s="40">
        <v>35</v>
      </c>
      <c r="E54" s="41"/>
      <c r="F54" s="41"/>
      <c r="G54" s="41"/>
      <c r="H54" s="42">
        <v>82</v>
      </c>
      <c r="K54" s="41"/>
      <c r="L54" s="46">
        <v>749.46</v>
      </c>
      <c r="O54" s="41"/>
      <c r="P54" s="42">
        <v>2.34</v>
      </c>
      <c r="S54" s="47">
        <v>21.41</v>
      </c>
      <c r="W54" s="45" t="s">
        <v>86</v>
      </c>
      <c r="X54" s="1">
        <f>VLOOKUP(W54,$A$12:$S$57, 4,FALSE)</f>
        <v>73</v>
      </c>
      <c r="Y54" s="1">
        <f t="shared" ref="Y54:Y61" si="20">VLOOKUP(W54,$A$12:$S$57, 8,FALSE)</f>
        <v>199</v>
      </c>
      <c r="Z54" s="7">
        <f t="shared" ref="Z54:Z61" si="21">VLOOKUP(W54,$A$12:$S$57, 16,FALSE)</f>
        <v>2.73</v>
      </c>
      <c r="AC54" s="27" t="s">
        <v>66</v>
      </c>
      <c r="AD54" s="16">
        <f>SUM(AD44:AD53)</f>
        <v>2</v>
      </c>
    </row>
    <row r="55" spans="1:30" x14ac:dyDescent="0.3">
      <c r="A55" s="44" t="s">
        <v>77</v>
      </c>
      <c r="D55" s="40">
        <v>155</v>
      </c>
      <c r="E55" s="41"/>
      <c r="F55" s="41"/>
      <c r="G55" s="41"/>
      <c r="H55" s="42">
        <v>374</v>
      </c>
      <c r="K55" s="41"/>
      <c r="L55" s="46">
        <v>3568.75</v>
      </c>
      <c r="O55" s="41"/>
      <c r="P55" s="42">
        <v>2.41</v>
      </c>
      <c r="S55" s="47">
        <v>23.02</v>
      </c>
      <c r="W55" s="45" t="s">
        <v>40</v>
      </c>
      <c r="X55" s="1">
        <f t="shared" ref="X55:X61" si="22">VLOOKUP(W55,$A$12:$S$57, 4,FALSE)</f>
        <v>164</v>
      </c>
      <c r="Y55" s="1">
        <f t="shared" si="20"/>
        <v>418</v>
      </c>
      <c r="Z55" s="7">
        <f t="shared" si="21"/>
        <v>2.5499999999999998</v>
      </c>
      <c r="AD55" s="3"/>
    </row>
    <row r="56" spans="1:30" x14ac:dyDescent="0.3">
      <c r="W56" s="45" t="s">
        <v>45</v>
      </c>
      <c r="X56" s="1">
        <f t="shared" si="22"/>
        <v>101</v>
      </c>
      <c r="Y56" s="1">
        <f t="shared" si="20"/>
        <v>248</v>
      </c>
      <c r="Z56" s="7">
        <f t="shared" si="21"/>
        <v>2.46</v>
      </c>
      <c r="AC56" s="23" t="str">
        <f>W50</f>
        <v>Balloon Boy</v>
      </c>
      <c r="AD56" s="26" t="s">
        <v>58</v>
      </c>
    </row>
    <row r="57" spans="1:30" x14ac:dyDescent="0.3">
      <c r="W57" s="45" t="s">
        <v>76</v>
      </c>
      <c r="X57" s="1">
        <f t="shared" si="22"/>
        <v>148</v>
      </c>
      <c r="Y57" s="1">
        <f t="shared" si="20"/>
        <v>392</v>
      </c>
      <c r="Z57" s="7">
        <f t="shared" si="21"/>
        <v>2.65</v>
      </c>
      <c r="AC57" s="9" t="str">
        <f>W53</f>
        <v>Kelly, Ryan</v>
      </c>
      <c r="AD57" s="14">
        <f t="shared" ref="AD57:AD65" si="23">IF(VLOOKUP(AC57,$W:$Z,2,FALSE)&gt;=100,
    IF(VLOOKUP(AC57,$W:$Z,4,FALSE)&gt;$AD$13,
        IF(VLOOKUP(AC57,$W:$Z,4,FALSE)&gt;=$AD$13+0.5,3,
            IF(VLOOKUP(AC57,$W:$Z,4,FALSE)&gt;=$AD$13+0.25,2,1)
        ),
    0),
0)</f>
        <v>0</v>
      </c>
    </row>
    <row r="58" spans="1:30" x14ac:dyDescent="0.3">
      <c r="V58" s="2"/>
      <c r="W58" s="45" t="s">
        <v>84</v>
      </c>
      <c r="X58" s="1">
        <f t="shared" si="22"/>
        <v>136</v>
      </c>
      <c r="Y58" s="1">
        <f t="shared" si="20"/>
        <v>337</v>
      </c>
      <c r="Z58" s="7">
        <f t="shared" si="21"/>
        <v>2.48</v>
      </c>
      <c r="AC58" s="9" t="str">
        <f>W54</f>
        <v>Isreal, Zeal</v>
      </c>
      <c r="AD58" s="14">
        <f t="shared" si="23"/>
        <v>0</v>
      </c>
    </row>
    <row r="59" spans="1:30" x14ac:dyDescent="0.3">
      <c r="W59" s="45" t="s">
        <v>77</v>
      </c>
      <c r="X59" s="1">
        <f t="shared" si="22"/>
        <v>155</v>
      </c>
      <c r="Y59" s="1">
        <f t="shared" si="20"/>
        <v>374</v>
      </c>
      <c r="Z59" s="7">
        <f t="shared" si="21"/>
        <v>2.41</v>
      </c>
      <c r="AC59" s="9" t="str">
        <f t="shared" ref="AC59:AC62" si="24">W55</f>
        <v>McChesney, Jack</v>
      </c>
      <c r="AD59" s="14">
        <f t="shared" si="23"/>
        <v>0</v>
      </c>
    </row>
    <row r="60" spans="1:30" x14ac:dyDescent="0.3">
      <c r="W60" s="9" t="s">
        <v>17</v>
      </c>
      <c r="X60" s="1">
        <f t="shared" si="22"/>
        <v>0</v>
      </c>
      <c r="Y60" s="1">
        <f t="shared" si="20"/>
        <v>0</v>
      </c>
      <c r="Z60" s="7">
        <f t="shared" si="21"/>
        <v>0</v>
      </c>
      <c r="AC60" s="9" t="str">
        <f t="shared" si="24"/>
        <v>Perez-Tellez, Damien</v>
      </c>
      <c r="AD60" s="14">
        <f t="shared" si="23"/>
        <v>0</v>
      </c>
    </row>
    <row r="61" spans="1:30" x14ac:dyDescent="0.3">
      <c r="W61" s="10" t="s">
        <v>17</v>
      </c>
      <c r="X61" s="11">
        <f t="shared" si="22"/>
        <v>0</v>
      </c>
      <c r="Y61" s="11">
        <f t="shared" si="20"/>
        <v>0</v>
      </c>
      <c r="Z61" s="12">
        <f t="shared" si="21"/>
        <v>0</v>
      </c>
      <c r="AC61" s="9" t="str">
        <f t="shared" si="24"/>
        <v>Shteyngart, Jenna</v>
      </c>
      <c r="AD61" s="14">
        <f t="shared" si="23"/>
        <v>0</v>
      </c>
    </row>
    <row r="62" spans="1:30" x14ac:dyDescent="0.3">
      <c r="AC62" s="9" t="str">
        <f t="shared" si="24"/>
        <v>Smith, Anders</v>
      </c>
      <c r="AD62" s="14">
        <f t="shared" si="23"/>
        <v>0</v>
      </c>
    </row>
    <row r="63" spans="1:30" x14ac:dyDescent="0.3">
      <c r="W63" s="62" t="s">
        <v>81</v>
      </c>
      <c r="X63" s="64"/>
      <c r="Y63" s="28" t="s">
        <v>7</v>
      </c>
      <c r="Z63" s="4">
        <f>(SUM(Y66:Y74)/SUM(X66:X74))</f>
        <v>2.616809116809117</v>
      </c>
      <c r="AC63" s="9" t="str">
        <f>W59</f>
        <v>Zinn Krulewitch, Mari</v>
      </c>
      <c r="AD63" s="14">
        <f t="shared" si="23"/>
        <v>0</v>
      </c>
    </row>
    <row r="64" spans="1:30" x14ac:dyDescent="0.3">
      <c r="W64" s="5"/>
      <c r="X64" s="6"/>
      <c r="Z64" s="7"/>
      <c r="AC64" s="9" t="str">
        <f>W60</f>
        <v>Admin, AMC</v>
      </c>
      <c r="AD64" s="14">
        <f t="shared" si="23"/>
        <v>0</v>
      </c>
    </row>
    <row r="65" spans="23:30" x14ac:dyDescent="0.3">
      <c r="W65" s="8"/>
      <c r="X65" s="24" t="s">
        <v>52</v>
      </c>
      <c r="Y65" s="24" t="s">
        <v>13</v>
      </c>
      <c r="Z65" s="25" t="s">
        <v>7</v>
      </c>
      <c r="AC65" s="9" t="str">
        <f>W61</f>
        <v>Admin, AMC</v>
      </c>
      <c r="AD65" s="14">
        <f t="shared" si="23"/>
        <v>0</v>
      </c>
    </row>
    <row r="66" spans="23:30" x14ac:dyDescent="0.3">
      <c r="W66" s="45" t="s">
        <v>42</v>
      </c>
      <c r="X66" s="1">
        <f>VLOOKUP(W66,$A$12:$S$57, 4,FALSE)</f>
        <v>65</v>
      </c>
      <c r="Y66" s="1">
        <f>VLOOKUP(W66,$A$12:$S$57, 8,FALSE)</f>
        <v>167</v>
      </c>
      <c r="Z66" s="7">
        <f>VLOOKUP(W66,$A$12:$S$57, 16,FALSE)</f>
        <v>2.57</v>
      </c>
      <c r="AC66" s="27" t="s">
        <v>66</v>
      </c>
      <c r="AD66" s="16">
        <f>SUM(AD57:AD65)</f>
        <v>0</v>
      </c>
    </row>
    <row r="67" spans="23:30" x14ac:dyDescent="0.3">
      <c r="W67" s="45" t="s">
        <v>21</v>
      </c>
      <c r="X67" s="1">
        <f>VLOOKUP(W67,$A$12:$S$57, 4,FALSE)</f>
        <v>145</v>
      </c>
      <c r="Y67" s="1">
        <f t="shared" ref="Y67:Y74" si="25">VLOOKUP(W67,$A$12:$S$57, 8,FALSE)</f>
        <v>334</v>
      </c>
      <c r="Z67" s="7">
        <f t="shared" ref="Z67:Z74" si="26">VLOOKUP(W67,$A$12:$S$57, 16,FALSE)</f>
        <v>2.2999999999999998</v>
      </c>
      <c r="AD67" s="3"/>
    </row>
    <row r="68" spans="23:30" x14ac:dyDescent="0.3">
      <c r="W68" s="9" t="s">
        <v>26</v>
      </c>
      <c r="X68" s="1">
        <f t="shared" ref="X68:X74" si="27">VLOOKUP(W68,$A$12:$S$57, 4,FALSE)</f>
        <v>0</v>
      </c>
      <c r="Y68" s="1">
        <f t="shared" si="25"/>
        <v>0</v>
      </c>
      <c r="Z68" s="7">
        <f t="shared" si="26"/>
        <v>0</v>
      </c>
      <c r="AC68" s="23" t="str">
        <f>W63</f>
        <v>Foxy</v>
      </c>
      <c r="AD68" s="26" t="s">
        <v>58</v>
      </c>
    </row>
    <row r="69" spans="23:30" x14ac:dyDescent="0.3">
      <c r="W69" s="45" t="s">
        <v>82</v>
      </c>
      <c r="X69" s="1">
        <f t="shared" si="27"/>
        <v>196</v>
      </c>
      <c r="Y69" s="1">
        <f t="shared" si="25"/>
        <v>533</v>
      </c>
      <c r="Z69" s="7">
        <f t="shared" si="26"/>
        <v>2.72</v>
      </c>
      <c r="AC69" s="9" t="str">
        <f>W66</f>
        <v>Mitchell, Gabe</v>
      </c>
      <c r="AD69" s="14">
        <f t="shared" ref="AD69:AD77" si="28">IF(VLOOKUP(AC69,$W:$Z,2,FALSE)&gt;=100,
    IF(VLOOKUP(AC69,$W:$Z,4,FALSE)&gt;$AD$13,
        IF(VLOOKUP(AC69,$W:$Z,4,FALSE)&gt;=$AD$13+0.5,3,
            IF(VLOOKUP(AC69,$W:$Z,4,FALSE)&gt;=$AD$13+0.25,2,1)
        ),
    0),
0)</f>
        <v>0</v>
      </c>
    </row>
    <row r="70" spans="23:30" x14ac:dyDescent="0.3">
      <c r="W70" s="9" t="s">
        <v>38</v>
      </c>
      <c r="X70" s="1">
        <f t="shared" si="27"/>
        <v>12</v>
      </c>
      <c r="Y70" s="1">
        <f t="shared" si="25"/>
        <v>41</v>
      </c>
      <c r="Z70" s="7">
        <f t="shared" si="26"/>
        <v>3.42</v>
      </c>
      <c r="AC70" s="9" t="str">
        <f>W67</f>
        <v>Alemayehu, Eyouel</v>
      </c>
      <c r="AD70" s="14">
        <f t="shared" si="28"/>
        <v>0</v>
      </c>
    </row>
    <row r="71" spans="23:30" x14ac:dyDescent="0.3">
      <c r="W71" s="9" t="s">
        <v>47</v>
      </c>
      <c r="X71" s="1">
        <f t="shared" si="27"/>
        <v>128</v>
      </c>
      <c r="Y71" s="1">
        <f t="shared" si="25"/>
        <v>327</v>
      </c>
      <c r="Z71" s="7">
        <f t="shared" si="26"/>
        <v>2.5499999999999998</v>
      </c>
      <c r="AC71" s="9" t="str">
        <f t="shared" ref="AC71" si="29">W68</f>
        <v>Delelu, Samra</v>
      </c>
      <c r="AD71" s="14">
        <f t="shared" si="28"/>
        <v>0</v>
      </c>
    </row>
    <row r="72" spans="23:30" x14ac:dyDescent="0.3">
      <c r="W72" s="45" t="s">
        <v>49</v>
      </c>
      <c r="X72" s="1">
        <f t="shared" si="27"/>
        <v>156</v>
      </c>
      <c r="Y72" s="1">
        <f t="shared" si="25"/>
        <v>435</v>
      </c>
      <c r="Z72" s="7">
        <f t="shared" si="26"/>
        <v>2.79</v>
      </c>
      <c r="AC72" s="9" t="str">
        <f t="shared" ref="AC72:AC77" si="30">W69</f>
        <v>Krause, Daniel</v>
      </c>
      <c r="AD72" s="14">
        <f t="shared" si="28"/>
        <v>1</v>
      </c>
    </row>
    <row r="73" spans="23:30" x14ac:dyDescent="0.3">
      <c r="W73" s="9" t="s">
        <v>17</v>
      </c>
      <c r="X73" s="1">
        <f>VLOOKUP(W73,$A$12:$S$57, 4,FALSE)</f>
        <v>0</v>
      </c>
      <c r="Y73" s="1">
        <f t="shared" si="25"/>
        <v>0</v>
      </c>
      <c r="Z73" s="7">
        <f t="shared" si="26"/>
        <v>0</v>
      </c>
      <c r="AC73" s="9" t="str">
        <f t="shared" si="30"/>
        <v>Lopez, Matthew</v>
      </c>
      <c r="AD73" s="14">
        <f t="shared" si="28"/>
        <v>0</v>
      </c>
    </row>
    <row r="74" spans="23:30" x14ac:dyDescent="0.3">
      <c r="W74" s="10" t="s">
        <v>17</v>
      </c>
      <c r="X74" s="11">
        <f t="shared" si="27"/>
        <v>0</v>
      </c>
      <c r="Y74" s="11">
        <f t="shared" si="25"/>
        <v>0</v>
      </c>
      <c r="Z74" s="12">
        <f t="shared" si="26"/>
        <v>0</v>
      </c>
      <c r="AC74" s="9" t="str">
        <f t="shared" si="30"/>
        <v>Santaella, Adriana</v>
      </c>
      <c r="AD74" s="14">
        <f t="shared" si="28"/>
        <v>0</v>
      </c>
    </row>
    <row r="75" spans="23:30" x14ac:dyDescent="0.3">
      <c r="AC75" s="9" t="str">
        <f t="shared" si="30"/>
        <v xml:space="preserve">Woodke, Jeralyn </v>
      </c>
      <c r="AD75" s="14">
        <f t="shared" si="28"/>
        <v>1</v>
      </c>
    </row>
    <row r="76" spans="23:30" x14ac:dyDescent="0.3">
      <c r="AC76" s="9" t="str">
        <f t="shared" si="30"/>
        <v>Admin, AMC</v>
      </c>
      <c r="AD76" s="14">
        <f t="shared" si="28"/>
        <v>0</v>
      </c>
    </row>
    <row r="77" spans="23:30" x14ac:dyDescent="0.3">
      <c r="AC77" s="9" t="str">
        <f t="shared" si="30"/>
        <v>Admin, AMC</v>
      </c>
      <c r="AD77" s="14">
        <f t="shared" si="28"/>
        <v>0</v>
      </c>
    </row>
    <row r="78" spans="23:30" x14ac:dyDescent="0.3">
      <c r="AC78" s="27" t="s">
        <v>66</v>
      </c>
      <c r="AD78" s="16">
        <f>SUM(AD69:AD77)</f>
        <v>2</v>
      </c>
    </row>
  </sheetData>
  <sortState xmlns:xlrd2="http://schemas.microsoft.com/office/spreadsheetml/2017/richdata2" ref="W68:W72">
    <sortCondition ref="W67"/>
  </sortState>
  <mergeCells count="9">
    <mergeCell ref="W36:X36"/>
    <mergeCell ref="W50:X50"/>
    <mergeCell ref="W63:X63"/>
    <mergeCell ref="AK7:AP7"/>
    <mergeCell ref="AG13:AH13"/>
    <mergeCell ref="AG7:AH7"/>
    <mergeCell ref="W8:X8"/>
    <mergeCell ref="W22:X22"/>
    <mergeCell ref="AM15:AN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53CD9-9403-42DA-A7A2-1FED7F9C627A}">
  <dimension ref="A1:AP78"/>
  <sheetViews>
    <sheetView topLeftCell="L4" zoomScale="80" zoomScaleNormal="80" workbookViewId="0">
      <selection activeCell="N14" sqref="N14"/>
    </sheetView>
  </sheetViews>
  <sheetFormatPr defaultColWidth="9.109375" defaultRowHeight="14.4" x14ac:dyDescent="0.3"/>
  <cols>
    <col min="1" max="1" width="21.5546875" customWidth="1"/>
    <col min="2" max="2" width="7.5546875" customWidth="1"/>
    <col min="3" max="3" width="3.44140625" customWidth="1"/>
    <col min="4" max="4" width="5.109375" customWidth="1"/>
    <col min="5" max="5" width="2.5546875" customWidth="1"/>
    <col min="6" max="6" width="3.6640625" customWidth="1"/>
    <col min="7" max="7" width="6" customWidth="1"/>
    <col min="8" max="8" width="6.88671875" customWidth="1"/>
    <col min="9" max="9" width="7.33203125" customWidth="1"/>
    <col min="10" max="10" width="4" customWidth="1"/>
    <col min="11" max="11" width="2.109375" customWidth="1"/>
    <col min="12" max="12" width="10.33203125" bestFit="1" customWidth="1"/>
    <col min="13" max="13" width="3" customWidth="1"/>
    <col min="14" max="14" width="3.88671875" customWidth="1"/>
    <col min="15" max="15" width="6.33203125" customWidth="1"/>
    <col min="16" max="16" width="2.5546875" customWidth="1"/>
    <col min="17" max="17" width="9" customWidth="1"/>
    <col min="18" max="18" width="10.5546875" customWidth="1"/>
    <col min="19" max="19" width="10.6640625" customWidth="1"/>
    <col min="20" max="22" width="9.109375" style="1"/>
    <col min="23" max="23" width="19.33203125" style="1" bestFit="1" customWidth="1"/>
    <col min="24" max="24" width="15.5546875" style="1" bestFit="1" customWidth="1"/>
    <col min="25" max="25" width="18.33203125" style="1" bestFit="1" customWidth="1"/>
    <col min="26" max="26" width="21.33203125" style="1" bestFit="1" customWidth="1"/>
    <col min="27" max="28" width="9.109375" style="1"/>
    <col min="29" max="29" width="19.33203125" style="1" bestFit="1" customWidth="1"/>
    <col min="30" max="30" width="16.109375" style="1" customWidth="1"/>
    <col min="31" max="31" width="9.109375" style="3"/>
    <col min="32" max="32" width="9.109375" style="1"/>
    <col min="33" max="33" width="18.88671875" style="1" customWidth="1"/>
    <col min="34" max="34" width="20" style="1" customWidth="1"/>
    <col min="35" max="36" width="9.109375" style="1"/>
    <col min="37" max="37" width="15" style="1" bestFit="1" customWidth="1"/>
    <col min="38" max="38" width="14.44140625" style="1" bestFit="1" customWidth="1"/>
    <col min="39" max="39" width="23.5546875" style="1" bestFit="1" customWidth="1"/>
    <col min="40" max="40" width="30.109375" style="1" bestFit="1" customWidth="1"/>
    <col min="41" max="41" width="13.33203125" style="1" bestFit="1" customWidth="1"/>
    <col min="42" max="42" width="11.44140625" style="1" bestFit="1" customWidth="1"/>
    <col min="43" max="16384" width="9.109375" style="1"/>
  </cols>
  <sheetData>
    <row r="1" spans="1:42" ht="17.399999999999999" x14ac:dyDescent="0.3">
      <c r="A1" s="29" t="s">
        <v>2</v>
      </c>
      <c r="B1" s="30"/>
      <c r="F1" s="31" t="s">
        <v>1</v>
      </c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42" x14ac:dyDescent="0.3">
      <c r="A2" s="29" t="s">
        <v>0</v>
      </c>
      <c r="B2" s="30"/>
    </row>
    <row r="3" spans="1:42" x14ac:dyDescent="0.3">
      <c r="A3" s="29" t="s">
        <v>3</v>
      </c>
      <c r="B3" s="30"/>
    </row>
    <row r="4" spans="1:42" x14ac:dyDescent="0.3">
      <c r="A4" s="29" t="s">
        <v>14</v>
      </c>
      <c r="B4" s="30"/>
      <c r="F4" s="33" t="s">
        <v>102</v>
      </c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</row>
    <row r="5" spans="1:42" x14ac:dyDescent="0.3">
      <c r="A5" s="29" t="s">
        <v>4</v>
      </c>
      <c r="B5" s="30"/>
      <c r="F5" s="33" t="s">
        <v>5</v>
      </c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42" ht="15" thickBot="1" x14ac:dyDescent="0.35">
      <c r="A6" s="29" t="s">
        <v>6</v>
      </c>
      <c r="B6" s="30"/>
    </row>
    <row r="7" spans="1:42" x14ac:dyDescent="0.3">
      <c r="M7" s="35" t="s">
        <v>15</v>
      </c>
      <c r="N7" s="36"/>
      <c r="O7" s="36"/>
      <c r="P7" s="36"/>
      <c r="AC7" s="54" t="s">
        <v>87</v>
      </c>
      <c r="AD7" s="55" t="s">
        <v>7</v>
      </c>
      <c r="AE7" s="53" t="s">
        <v>88</v>
      </c>
      <c r="AG7" s="62" t="s">
        <v>67</v>
      </c>
      <c r="AH7" s="63"/>
      <c r="AK7" s="62" t="s">
        <v>57</v>
      </c>
      <c r="AL7" s="64"/>
      <c r="AM7" s="64"/>
      <c r="AN7" s="64"/>
      <c r="AO7" s="64"/>
      <c r="AP7" s="63"/>
    </row>
    <row r="8" spans="1:42" x14ac:dyDescent="0.3">
      <c r="I8" s="37" t="s">
        <v>7</v>
      </c>
      <c r="M8" s="35" t="s">
        <v>16</v>
      </c>
      <c r="N8" s="36"/>
      <c r="O8" s="36"/>
      <c r="P8" s="36"/>
      <c r="W8" s="62" t="s">
        <v>78</v>
      </c>
      <c r="X8" s="64"/>
      <c r="Y8" s="28" t="s">
        <v>56</v>
      </c>
      <c r="Z8" s="4">
        <f>(SUM(Y11:Y20)/SUM(X11:X20))</f>
        <v>2.7761467889908258</v>
      </c>
      <c r="AC8" s="48" t="str">
        <f>W8</f>
        <v>Chica</v>
      </c>
      <c r="AD8" s="1">
        <f>Z8</f>
        <v>2.7761467889908258</v>
      </c>
      <c r="AE8" s="49">
        <f>SUM(X11:X20)</f>
        <v>1090</v>
      </c>
      <c r="AG8" s="8" t="s">
        <v>53</v>
      </c>
      <c r="AH8" s="7" t="str">
        <f>INDEX($AC$8:$AC$12, MATCH(LARGE($AD$8:$AD$12, 1), $AD$8:$AD$12, 0))</f>
        <v>Chica</v>
      </c>
      <c r="AK8" s="18"/>
      <c r="AL8" s="19" t="s">
        <v>60</v>
      </c>
      <c r="AM8" s="19" t="s">
        <v>62</v>
      </c>
      <c r="AN8" s="19" t="s">
        <v>63</v>
      </c>
      <c r="AO8" s="19" t="s">
        <v>61</v>
      </c>
      <c r="AP8" s="22" t="s">
        <v>64</v>
      </c>
    </row>
    <row r="9" spans="1:42" x14ac:dyDescent="0.3">
      <c r="D9" s="38"/>
      <c r="E9" s="38"/>
      <c r="F9" s="38"/>
      <c r="G9" s="39" t="s">
        <v>9</v>
      </c>
      <c r="I9" s="40">
        <v>2.71</v>
      </c>
      <c r="N9" s="41"/>
      <c r="O9" s="46">
        <v>25.65</v>
      </c>
      <c r="W9" s="5"/>
      <c r="X9" s="6"/>
      <c r="Z9" s="7"/>
      <c r="AC9" s="48" t="str">
        <f>W22</f>
        <v>Bonnie</v>
      </c>
      <c r="AD9" s="1">
        <f>Z22</f>
        <v>2.7297297297297298</v>
      </c>
      <c r="AE9" s="49">
        <f>SUM(X25:X34)</f>
        <v>481</v>
      </c>
      <c r="AG9" s="8" t="s">
        <v>54</v>
      </c>
      <c r="AH9" s="7" t="str">
        <f>INDEX($AC$8:$AC$12, MATCH(LARGE($AD$8:$AD$12, 2), $AD$8:$AD$12, 0))</f>
        <v>Bonnie</v>
      </c>
      <c r="AK9" s="13" t="str">
        <f>W8</f>
        <v>Chica</v>
      </c>
      <c r="AL9" s="3">
        <f>'Week 1'!AP9</f>
        <v>2</v>
      </c>
      <c r="AM9" s="3">
        <f>AD28</f>
        <v>5</v>
      </c>
      <c r="AN9" s="3">
        <f>AH31</f>
        <v>1</v>
      </c>
      <c r="AO9" s="3">
        <f>AH14</f>
        <v>3</v>
      </c>
      <c r="AP9" s="14">
        <f>SUM(AL9:AO9)</f>
        <v>11</v>
      </c>
    </row>
    <row r="10" spans="1:42" x14ac:dyDescent="0.3">
      <c r="B10" s="38"/>
      <c r="C10" s="38"/>
      <c r="D10" s="39" t="s">
        <v>11</v>
      </c>
      <c r="W10" s="8"/>
      <c r="X10" s="24" t="s">
        <v>52</v>
      </c>
      <c r="Y10" s="24" t="s">
        <v>13</v>
      </c>
      <c r="Z10" s="25" t="s">
        <v>7</v>
      </c>
      <c r="AC10" s="48" t="str">
        <f>W36</f>
        <v>Freddy</v>
      </c>
      <c r="AD10" s="1">
        <f>Z36</f>
        <v>2.6085918854415273</v>
      </c>
      <c r="AE10" s="49">
        <f>SUM(X39:X48)</f>
        <v>419</v>
      </c>
      <c r="AG10" s="17" t="s">
        <v>55</v>
      </c>
      <c r="AH10" s="12" t="str">
        <f>INDEX($AC$8:$AC$12, MATCH(LARGE($AD$8:$AD$12, 3), $AD$8:$AD$12, 0))</f>
        <v>Balloon Boy</v>
      </c>
      <c r="AK10" s="13" t="str">
        <f>W22</f>
        <v>Bonnie</v>
      </c>
      <c r="AL10" s="3">
        <f>'Week 1'!AP10</f>
        <v>0</v>
      </c>
      <c r="AM10" s="3">
        <f>AD41</f>
        <v>1</v>
      </c>
      <c r="AN10" s="3">
        <f t="shared" ref="AN10:AN12" si="0">AH32</f>
        <v>1</v>
      </c>
      <c r="AO10" s="3">
        <f>AH15</f>
        <v>2</v>
      </c>
      <c r="AP10" s="14">
        <f t="shared" ref="AP10:AP13" si="1">SUM(AL10:AO10)</f>
        <v>4</v>
      </c>
    </row>
    <row r="11" spans="1:42" x14ac:dyDescent="0.3">
      <c r="A11" s="43" t="s">
        <v>12</v>
      </c>
      <c r="B11" s="38"/>
      <c r="C11" s="38"/>
      <c r="D11" s="38"/>
      <c r="G11" s="39" t="s">
        <v>13</v>
      </c>
      <c r="H11" s="38"/>
      <c r="I11" s="38"/>
      <c r="J11" s="38"/>
      <c r="K11" s="39" t="s">
        <v>10</v>
      </c>
      <c r="L11" s="38"/>
      <c r="M11" s="38"/>
      <c r="O11" s="38"/>
      <c r="P11" s="39" t="s">
        <v>7</v>
      </c>
      <c r="R11" s="38"/>
      <c r="S11" s="39" t="s">
        <v>8</v>
      </c>
      <c r="W11" s="9" t="s">
        <v>37</v>
      </c>
      <c r="X11" s="1">
        <f>VLOOKUP(W11,$A$12:$S$57, 4,FALSE)</f>
        <v>180</v>
      </c>
      <c r="Y11" s="1">
        <f>VLOOKUP(W11,$A$12:$S$57, 8,FALSE)</f>
        <v>510</v>
      </c>
      <c r="Z11" s="7">
        <f>VLOOKUP(W11,$A$12:$S$57, 16,FALSE)</f>
        <v>2.83</v>
      </c>
      <c r="AC11" s="48" t="str">
        <f>W50</f>
        <v>Balloon Boy</v>
      </c>
      <c r="AD11" s="1">
        <f>Z50</f>
        <v>2.7127937336814623</v>
      </c>
      <c r="AE11" s="49">
        <f>SUM(X53:X61)</f>
        <v>766</v>
      </c>
      <c r="AK11" s="13" t="str">
        <f>W36</f>
        <v>Freddy</v>
      </c>
      <c r="AL11" s="3">
        <f>'Week 1'!AP11</f>
        <v>5</v>
      </c>
      <c r="AM11" s="3">
        <f>AD54</f>
        <v>0</v>
      </c>
      <c r="AN11" s="3">
        <f t="shared" si="0"/>
        <v>0</v>
      </c>
      <c r="AO11" s="3">
        <f>AH16</f>
        <v>0</v>
      </c>
      <c r="AP11" s="14">
        <f t="shared" si="1"/>
        <v>5</v>
      </c>
    </row>
    <row r="12" spans="1:42" x14ac:dyDescent="0.3">
      <c r="A12" s="44" t="s">
        <v>17</v>
      </c>
      <c r="D12" s="40">
        <v>0</v>
      </c>
      <c r="E12" s="41"/>
      <c r="F12" s="41"/>
      <c r="G12" s="41"/>
      <c r="H12" s="42">
        <v>0</v>
      </c>
      <c r="K12" s="41"/>
      <c r="L12" s="42">
        <v>0</v>
      </c>
      <c r="O12" s="41"/>
      <c r="P12" s="42">
        <v>0</v>
      </c>
      <c r="S12" s="40">
        <v>0</v>
      </c>
      <c r="W12" s="9" t="s">
        <v>22</v>
      </c>
      <c r="X12" s="1">
        <f t="shared" ref="X12:X20" si="2">VLOOKUP(W12,$A$12:$S$57, 4,FALSE)</f>
        <v>170</v>
      </c>
      <c r="Y12" s="1">
        <f t="shared" ref="Y12:Y20" si="3">VLOOKUP(W12,$A$12:$S$57, 8,FALSE)</f>
        <v>503</v>
      </c>
      <c r="Z12" s="7">
        <f t="shared" ref="Z12:Z20" si="4">VLOOKUP(W12,$A$12:$S$57, 16,FALSE)</f>
        <v>2.96</v>
      </c>
      <c r="AC12" s="48" t="str">
        <f>W63</f>
        <v>Foxy</v>
      </c>
      <c r="AD12" s="1">
        <f>Z63</f>
        <v>2.6019999999999999</v>
      </c>
      <c r="AE12" s="49">
        <f>SUM(X66:X74)</f>
        <v>500</v>
      </c>
      <c r="AK12" s="13" t="str">
        <f>W50</f>
        <v>Balloon Boy</v>
      </c>
      <c r="AL12" s="3">
        <f>'Week 1'!AP12</f>
        <v>2</v>
      </c>
      <c r="AM12" s="3">
        <f>AD66</f>
        <v>3</v>
      </c>
      <c r="AN12" s="3">
        <f t="shared" si="0"/>
        <v>1</v>
      </c>
      <c r="AO12" s="3">
        <f>AH17</f>
        <v>1</v>
      </c>
      <c r="AP12" s="14">
        <f t="shared" si="1"/>
        <v>7</v>
      </c>
    </row>
    <row r="13" spans="1:42" ht="15" thickBot="1" x14ac:dyDescent="0.35">
      <c r="A13" s="44" t="s">
        <v>18</v>
      </c>
      <c r="D13" s="40">
        <v>0</v>
      </c>
      <c r="E13" s="41"/>
      <c r="F13" s="41"/>
      <c r="G13" s="41"/>
      <c r="H13" s="42">
        <v>0</v>
      </c>
      <c r="K13" s="41"/>
      <c r="L13" s="42">
        <v>0</v>
      </c>
      <c r="O13" s="41"/>
      <c r="P13" s="42">
        <v>0</v>
      </c>
      <c r="S13" s="40">
        <v>0</v>
      </c>
      <c r="W13" s="45" t="s">
        <v>75</v>
      </c>
      <c r="X13" s="1">
        <f t="shared" si="2"/>
        <v>133</v>
      </c>
      <c r="Y13" s="1">
        <f t="shared" si="3"/>
        <v>314</v>
      </c>
      <c r="Z13" s="7">
        <f t="shared" si="4"/>
        <v>2.36</v>
      </c>
      <c r="AC13" s="50" t="s">
        <v>59</v>
      </c>
      <c r="AD13" s="51">
        <f>I9</f>
        <v>2.71</v>
      </c>
      <c r="AE13" s="52">
        <f>SUM(D12:D55)</f>
        <v>3256</v>
      </c>
      <c r="AG13" s="65" t="s">
        <v>65</v>
      </c>
      <c r="AH13" s="66"/>
      <c r="AK13" s="15" t="str">
        <f>W63</f>
        <v>Foxy</v>
      </c>
      <c r="AL13" s="21">
        <f>'Week 1'!AP13</f>
        <v>2</v>
      </c>
      <c r="AM13" s="21">
        <f>AD78</f>
        <v>0</v>
      </c>
      <c r="AN13" s="21">
        <f>AH35</f>
        <v>0</v>
      </c>
      <c r="AO13" s="21">
        <f>AH18</f>
        <v>0</v>
      </c>
      <c r="AP13" s="16">
        <f t="shared" si="1"/>
        <v>2</v>
      </c>
    </row>
    <row r="14" spans="1:42" x14ac:dyDescent="0.3">
      <c r="A14" s="44" t="s">
        <v>19</v>
      </c>
      <c r="D14" s="40">
        <v>0</v>
      </c>
      <c r="E14" s="41"/>
      <c r="F14" s="41"/>
      <c r="G14" s="41"/>
      <c r="H14" s="42">
        <v>0</v>
      </c>
      <c r="K14" s="41"/>
      <c r="L14" s="42">
        <v>0</v>
      </c>
      <c r="O14" s="41"/>
      <c r="P14" s="42">
        <v>0</v>
      </c>
      <c r="S14" s="40">
        <v>0</v>
      </c>
      <c r="W14" s="9" t="s">
        <v>30</v>
      </c>
      <c r="X14" s="1">
        <f t="shared" si="2"/>
        <v>99</v>
      </c>
      <c r="Y14" s="1">
        <f t="shared" si="3"/>
        <v>272</v>
      </c>
      <c r="Z14" s="7">
        <f t="shared" si="4"/>
        <v>2.75</v>
      </c>
      <c r="AG14" s="13" t="str">
        <f>W8</f>
        <v>Chica</v>
      </c>
      <c r="AH14" s="14">
        <f>IF(AG14=$AH$8,3,IF(AG14=$AH$9,2,IF(AG14=$AH$10,1,0)))</f>
        <v>3</v>
      </c>
    </row>
    <row r="15" spans="1:42" x14ac:dyDescent="0.3">
      <c r="A15" s="44" t="s">
        <v>20</v>
      </c>
      <c r="D15" s="40">
        <v>178</v>
      </c>
      <c r="E15" s="41"/>
      <c r="F15" s="41"/>
      <c r="G15" s="41"/>
      <c r="H15" s="42">
        <v>470</v>
      </c>
      <c r="K15" s="41"/>
      <c r="L15" s="46">
        <v>4311.18</v>
      </c>
      <c r="O15" s="41"/>
      <c r="P15" s="42">
        <v>2.64</v>
      </c>
      <c r="S15" s="47">
        <v>24.22</v>
      </c>
      <c r="W15" s="9" t="s">
        <v>34</v>
      </c>
      <c r="X15" s="1">
        <f t="shared" si="2"/>
        <v>112</v>
      </c>
      <c r="Y15" s="1">
        <f t="shared" si="3"/>
        <v>330</v>
      </c>
      <c r="Z15" s="7">
        <f t="shared" si="4"/>
        <v>2.95</v>
      </c>
      <c r="AG15" s="13" t="str">
        <f>W22</f>
        <v>Bonnie</v>
      </c>
      <c r="AH15" s="14">
        <f t="shared" ref="AH15:AH18" si="5">IF(AG15=$AH$8,3,IF(AG15=$AH$9,2,IF(AG15=$AH$10,1,0)))</f>
        <v>2</v>
      </c>
      <c r="AM15" s="62" t="s">
        <v>68</v>
      </c>
      <c r="AN15" s="63"/>
    </row>
    <row r="16" spans="1:42" x14ac:dyDescent="0.3">
      <c r="A16" s="44" t="s">
        <v>21</v>
      </c>
      <c r="D16" s="40">
        <v>0</v>
      </c>
      <c r="E16" s="41"/>
      <c r="F16" s="41"/>
      <c r="G16" s="41"/>
      <c r="H16" s="42">
        <v>0</v>
      </c>
      <c r="K16" s="41"/>
      <c r="L16" s="42">
        <v>0</v>
      </c>
      <c r="O16" s="41"/>
      <c r="P16" s="42">
        <v>0</v>
      </c>
      <c r="S16" s="40">
        <v>0</v>
      </c>
      <c r="W16" s="9" t="s">
        <v>39</v>
      </c>
      <c r="X16" s="1">
        <f t="shared" si="2"/>
        <v>61</v>
      </c>
      <c r="Y16" s="1">
        <f t="shared" si="3"/>
        <v>151</v>
      </c>
      <c r="Z16" s="7">
        <f t="shared" si="4"/>
        <v>2.48</v>
      </c>
      <c r="AG16" s="13" t="str">
        <f>W36</f>
        <v>Freddy</v>
      </c>
      <c r="AH16" s="14">
        <f t="shared" si="5"/>
        <v>0</v>
      </c>
      <c r="AM16" s="8" t="s">
        <v>69</v>
      </c>
      <c r="AN16" s="7" t="str">
        <f>INDEX($AK$9:$AK$13, MATCH(LARGE($AP$9:$AP$13, 1), $AP$9:$AP$13, 0))</f>
        <v>Chica</v>
      </c>
    </row>
    <row r="17" spans="1:40" x14ac:dyDescent="0.3">
      <c r="A17" s="44" t="s">
        <v>22</v>
      </c>
      <c r="D17" s="40">
        <v>170</v>
      </c>
      <c r="E17" s="41"/>
      <c r="F17" s="41"/>
      <c r="G17" s="41"/>
      <c r="H17" s="42">
        <v>503</v>
      </c>
      <c r="K17" s="41"/>
      <c r="L17" s="46">
        <v>4755.16</v>
      </c>
      <c r="O17" s="41"/>
      <c r="P17" s="42">
        <v>2.96</v>
      </c>
      <c r="S17" s="47">
        <v>27.97</v>
      </c>
      <c r="W17" s="9" t="s">
        <v>43</v>
      </c>
      <c r="X17" s="1">
        <f t="shared" si="2"/>
        <v>101</v>
      </c>
      <c r="Y17" s="1">
        <f t="shared" si="3"/>
        <v>244</v>
      </c>
      <c r="Z17" s="7">
        <f t="shared" si="4"/>
        <v>2.42</v>
      </c>
      <c r="AC17" s="23" t="str">
        <f>W8</f>
        <v>Chica</v>
      </c>
      <c r="AD17" s="26" t="s">
        <v>58</v>
      </c>
      <c r="AG17" s="13" t="str">
        <f>W50</f>
        <v>Balloon Boy</v>
      </c>
      <c r="AH17" s="14">
        <f t="shared" si="5"/>
        <v>1</v>
      </c>
      <c r="AM17" s="8" t="s">
        <v>70</v>
      </c>
      <c r="AN17" s="7" t="str">
        <f>INDEX($AK$9:$AK$13, MATCH(LARGE($AP$9:$AP$13, 2), $AP$9:$AP$13, 0))</f>
        <v>Balloon Boy</v>
      </c>
    </row>
    <row r="18" spans="1:40" x14ac:dyDescent="0.3">
      <c r="A18" s="44" t="s">
        <v>75</v>
      </c>
      <c r="D18" s="40">
        <v>133</v>
      </c>
      <c r="E18" s="41"/>
      <c r="F18" s="41"/>
      <c r="G18" s="41"/>
      <c r="H18" s="42">
        <v>314</v>
      </c>
      <c r="K18" s="41"/>
      <c r="L18" s="46">
        <v>2830.17</v>
      </c>
      <c r="O18" s="41"/>
      <c r="P18" s="42">
        <v>2.36</v>
      </c>
      <c r="S18" s="47">
        <v>21.28</v>
      </c>
      <c r="W18" s="9" t="s">
        <v>83</v>
      </c>
      <c r="X18" s="1">
        <f t="shared" si="2"/>
        <v>143</v>
      </c>
      <c r="Y18" s="1">
        <f t="shared" si="3"/>
        <v>420</v>
      </c>
      <c r="Z18" s="7">
        <f t="shared" si="4"/>
        <v>2.94</v>
      </c>
      <c r="AC18" s="9" t="str">
        <f>W11</f>
        <v>Lopez, Ebony</v>
      </c>
      <c r="AD18" s="14">
        <f t="shared" ref="AD18:AD27" si="6">IF(VLOOKUP(AC18,$W:$Z,2,FALSE)&gt;=100,
    IF(VLOOKUP(AC18,$W:$Z,4,FALSE)&gt;$AD$13,
        IF(VLOOKUP(AC18,$W:$Z,4,FALSE)&gt;=$AD$13+0.5,3,
            IF(VLOOKUP(AC18,$W:$Z,4,FALSE)&gt;=$AD$13+0.25,2,1)
        ),
    0),
0)</f>
        <v>1</v>
      </c>
      <c r="AG18" s="15" t="str">
        <f>W63</f>
        <v>Foxy</v>
      </c>
      <c r="AH18" s="16">
        <f t="shared" si="5"/>
        <v>0</v>
      </c>
      <c r="AM18" s="8" t="s">
        <v>71</v>
      </c>
      <c r="AN18" s="7" t="str">
        <f>INDEX($AK$9:$AK$13, MATCH(LARGE($AP$9:$AP$13, 3), $AP$9:$AP$13, 0))</f>
        <v>Freddy</v>
      </c>
    </row>
    <row r="19" spans="1:40" x14ac:dyDescent="0.3">
      <c r="A19" s="44" t="s">
        <v>23</v>
      </c>
      <c r="D19" s="40">
        <v>172</v>
      </c>
      <c r="E19" s="41"/>
      <c r="F19" s="41"/>
      <c r="G19" s="41"/>
      <c r="H19" s="42">
        <v>428</v>
      </c>
      <c r="K19" s="41"/>
      <c r="L19" s="46">
        <v>3920.75</v>
      </c>
      <c r="O19" s="41"/>
      <c r="P19" s="42">
        <v>2.4900000000000002</v>
      </c>
      <c r="S19" s="47">
        <v>22.8</v>
      </c>
      <c r="W19" s="9" t="s">
        <v>74</v>
      </c>
      <c r="X19" s="1">
        <f t="shared" si="2"/>
        <v>91</v>
      </c>
      <c r="Y19" s="1">
        <f t="shared" si="3"/>
        <v>282</v>
      </c>
      <c r="Z19" s="7">
        <f t="shared" si="4"/>
        <v>3.1</v>
      </c>
      <c r="AC19" s="9" t="str">
        <f>W12</f>
        <v>Allen, Wren</v>
      </c>
      <c r="AD19" s="14">
        <f t="shared" si="6"/>
        <v>2</v>
      </c>
      <c r="AM19" s="8" t="s">
        <v>72</v>
      </c>
      <c r="AN19" s="7" t="str">
        <f>INDEX($AK$9:$AK$13, MATCH(LARGE($AP$9:$AP$13, 4), $AP$9:$AP$13, 0))</f>
        <v>Bonnie</v>
      </c>
    </row>
    <row r="20" spans="1:40" x14ac:dyDescent="0.3">
      <c r="A20" s="44" t="s">
        <v>24</v>
      </c>
      <c r="D20" s="40">
        <v>0</v>
      </c>
      <c r="E20" s="41"/>
      <c r="F20" s="41"/>
      <c r="G20" s="41"/>
      <c r="H20" s="42">
        <v>0</v>
      </c>
      <c r="K20" s="41"/>
      <c r="L20" s="42">
        <v>0</v>
      </c>
      <c r="O20" s="41"/>
      <c r="P20" s="42">
        <v>0</v>
      </c>
      <c r="S20" s="40">
        <v>0</v>
      </c>
      <c r="V20" s="1" t="s">
        <v>101</v>
      </c>
      <c r="W20" s="10" t="s">
        <v>17</v>
      </c>
      <c r="X20" s="11">
        <f t="shared" si="2"/>
        <v>0</v>
      </c>
      <c r="Y20" s="11">
        <f t="shared" si="3"/>
        <v>0</v>
      </c>
      <c r="Z20" s="12">
        <f t="shared" si="4"/>
        <v>0</v>
      </c>
      <c r="AC20" s="9" t="str">
        <f t="shared" ref="AC20:AC25" si="7">W13</f>
        <v>Araya, Kidane</v>
      </c>
      <c r="AD20" s="14">
        <f t="shared" si="6"/>
        <v>0</v>
      </c>
      <c r="AM20" s="17" t="s">
        <v>73</v>
      </c>
      <c r="AN20" s="12" t="str">
        <f>INDEX($AK$9:$AK$13, MATCH(LARGE($AP$9:$AP$13, 5), $AP$9:$AP$13, 0))</f>
        <v>Foxy</v>
      </c>
    </row>
    <row r="21" spans="1:40" x14ac:dyDescent="0.3">
      <c r="A21" s="44" t="s">
        <v>25</v>
      </c>
      <c r="D21" s="40">
        <v>57</v>
      </c>
      <c r="E21" s="41"/>
      <c r="F21" s="41"/>
      <c r="G21" s="41"/>
      <c r="H21" s="42">
        <v>158</v>
      </c>
      <c r="K21" s="41"/>
      <c r="L21" s="46">
        <v>1539.07</v>
      </c>
      <c r="O21" s="41"/>
      <c r="P21" s="42">
        <v>2.77</v>
      </c>
      <c r="S21" s="47">
        <v>27</v>
      </c>
      <c r="AC21" s="9" t="str">
        <f t="shared" si="7"/>
        <v>Gemmer, Jake</v>
      </c>
      <c r="AD21" s="14">
        <f t="shared" si="6"/>
        <v>0</v>
      </c>
      <c r="AG21" s="62" t="s">
        <v>91</v>
      </c>
      <c r="AH21" s="63"/>
    </row>
    <row r="22" spans="1:40" x14ac:dyDescent="0.3">
      <c r="A22" s="44" t="s">
        <v>26</v>
      </c>
      <c r="D22" s="40">
        <v>0</v>
      </c>
      <c r="E22" s="41"/>
      <c r="F22" s="41"/>
      <c r="G22" s="41"/>
      <c r="H22" s="42">
        <v>0</v>
      </c>
      <c r="K22" s="41"/>
      <c r="L22" s="42">
        <v>0</v>
      </c>
      <c r="O22" s="41"/>
      <c r="P22" s="42">
        <v>0</v>
      </c>
      <c r="S22" s="40">
        <v>0</v>
      </c>
      <c r="W22" s="62" t="s">
        <v>79</v>
      </c>
      <c r="X22" s="64"/>
      <c r="Y22" s="28" t="s">
        <v>7</v>
      </c>
      <c r="Z22" s="4">
        <f>(SUM(Y25:Y34)/SUM(X25:X34))</f>
        <v>2.7297297297297298</v>
      </c>
      <c r="AC22" s="9" t="str">
        <f t="shared" si="7"/>
        <v>Jackson, Parker</v>
      </c>
      <c r="AD22" s="14">
        <f t="shared" si="6"/>
        <v>1</v>
      </c>
      <c r="AG22" s="5" t="s">
        <v>87</v>
      </c>
      <c r="AH22" s="58" t="s">
        <v>7</v>
      </c>
    </row>
    <row r="23" spans="1:40" x14ac:dyDescent="0.3">
      <c r="A23" s="44" t="s">
        <v>27</v>
      </c>
      <c r="D23" s="40">
        <v>52</v>
      </c>
      <c r="E23" s="41"/>
      <c r="F23" s="41"/>
      <c r="G23" s="41"/>
      <c r="H23" s="42">
        <v>133</v>
      </c>
      <c r="K23" s="41"/>
      <c r="L23" s="46">
        <v>1210.2</v>
      </c>
      <c r="O23" s="41"/>
      <c r="P23" s="42">
        <v>2.56</v>
      </c>
      <c r="S23" s="47">
        <v>23.27</v>
      </c>
      <c r="W23" s="8"/>
      <c r="Z23" s="7"/>
      <c r="AC23" s="9" t="str">
        <f t="shared" si="7"/>
        <v>Mccarty, Katelynn</v>
      </c>
      <c r="AD23" s="14">
        <f t="shared" si="6"/>
        <v>0</v>
      </c>
      <c r="AG23" s="56" t="str">
        <f>W8</f>
        <v>Chica</v>
      </c>
      <c r="AH23" s="7">
        <f>'Week 1'!AD8</f>
        <v>2.6683203401842666</v>
      </c>
    </row>
    <row r="24" spans="1:40" x14ac:dyDescent="0.3">
      <c r="A24" s="44" t="s">
        <v>28</v>
      </c>
      <c r="D24" s="40">
        <v>105</v>
      </c>
      <c r="E24" s="41"/>
      <c r="F24" s="41"/>
      <c r="G24" s="41"/>
      <c r="H24" s="42">
        <v>256</v>
      </c>
      <c r="K24" s="41"/>
      <c r="L24" s="46">
        <v>2381.08</v>
      </c>
      <c r="O24" s="41"/>
      <c r="P24" s="42">
        <v>2.44</v>
      </c>
      <c r="S24" s="47">
        <v>22.68</v>
      </c>
      <c r="W24" s="8"/>
      <c r="X24" s="24" t="s">
        <v>52</v>
      </c>
      <c r="Y24" s="24" t="s">
        <v>13</v>
      </c>
      <c r="Z24" s="25" t="s">
        <v>7</v>
      </c>
      <c r="AC24" s="9" t="str">
        <f t="shared" si="7"/>
        <v>Montero, Rowan</v>
      </c>
      <c r="AD24" s="14">
        <f t="shared" si="6"/>
        <v>0</v>
      </c>
      <c r="AG24" s="56" t="str">
        <f>W22</f>
        <v>Bonnie</v>
      </c>
      <c r="AH24" s="7">
        <f>'Week 1'!AD9</f>
        <v>2.5670498084291187</v>
      </c>
    </row>
    <row r="25" spans="1:40" x14ac:dyDescent="0.3">
      <c r="A25" s="44" t="s">
        <v>29</v>
      </c>
      <c r="D25" s="40">
        <v>60</v>
      </c>
      <c r="E25" s="41"/>
      <c r="F25" s="41"/>
      <c r="G25" s="41"/>
      <c r="H25" s="42">
        <v>188</v>
      </c>
      <c r="K25" s="41"/>
      <c r="L25" s="46">
        <v>1731.31</v>
      </c>
      <c r="O25" s="41"/>
      <c r="P25" s="42">
        <v>3.13</v>
      </c>
      <c r="S25" s="47">
        <v>28.86</v>
      </c>
      <c r="W25" s="9" t="s">
        <v>51</v>
      </c>
      <c r="X25" s="1">
        <f>VLOOKUP(W25,$A$12:$S$57, 4,FALSE)</f>
        <v>25</v>
      </c>
      <c r="Y25" s="1">
        <f>VLOOKUP(W25,$A$12:$S$57, 8,FALSE)</f>
        <v>75</v>
      </c>
      <c r="Z25" s="7">
        <f>VLOOKUP(W25,$A$12:$S$57, 16,FALSE)</f>
        <v>3</v>
      </c>
      <c r="AC25" s="9" t="str">
        <f t="shared" si="7"/>
        <v>Pepper, Court</v>
      </c>
      <c r="AD25" s="14">
        <f t="shared" si="6"/>
        <v>1</v>
      </c>
      <c r="AG25" s="56" t="str">
        <f>W36</f>
        <v>Freddy</v>
      </c>
      <c r="AH25" s="7">
        <f>'Week 1'!AD10</f>
        <v>2.8501742160278747</v>
      </c>
    </row>
    <row r="26" spans="1:40" x14ac:dyDescent="0.3">
      <c r="A26" s="44" t="s">
        <v>30</v>
      </c>
      <c r="D26" s="40">
        <v>99</v>
      </c>
      <c r="E26" s="41"/>
      <c r="F26" s="41"/>
      <c r="G26" s="41"/>
      <c r="H26" s="42">
        <v>272</v>
      </c>
      <c r="K26" s="41"/>
      <c r="L26" s="46">
        <v>2468.5</v>
      </c>
      <c r="O26" s="41"/>
      <c r="P26" s="42">
        <v>2.75</v>
      </c>
      <c r="S26" s="47">
        <v>24.93</v>
      </c>
      <c r="W26" s="9" t="s">
        <v>27</v>
      </c>
      <c r="X26" s="1">
        <f t="shared" ref="X26:X34" si="8">VLOOKUP(W26,$A$12:$S$57, 4,FALSE)</f>
        <v>52</v>
      </c>
      <c r="Y26" s="1">
        <f t="shared" ref="Y26:Y34" si="9">VLOOKUP(W26,$A$12:$S$57, 8,FALSE)</f>
        <v>133</v>
      </c>
      <c r="Z26" s="7">
        <f t="shared" ref="Z26:Z34" si="10">VLOOKUP(W26,$A$12:$S$57, 16,FALSE)</f>
        <v>2.56</v>
      </c>
      <c r="AC26" s="9" t="str">
        <f>W19</f>
        <v>Taylor, Ronni</v>
      </c>
      <c r="AD26" s="14">
        <f t="shared" si="6"/>
        <v>0</v>
      </c>
      <c r="AG26" s="56" t="str">
        <f>W50</f>
        <v>Balloon Boy</v>
      </c>
      <c r="AH26" s="7">
        <f>'Week 1'!AD11</f>
        <v>2.699501246882793</v>
      </c>
    </row>
    <row r="27" spans="1:40" x14ac:dyDescent="0.3">
      <c r="A27" s="44" t="s">
        <v>31</v>
      </c>
      <c r="D27" s="40">
        <v>0</v>
      </c>
      <c r="E27" s="41"/>
      <c r="F27" s="41"/>
      <c r="G27" s="41"/>
      <c r="H27" s="42">
        <v>0</v>
      </c>
      <c r="K27" s="41"/>
      <c r="L27" s="42">
        <v>0</v>
      </c>
      <c r="O27" s="41"/>
      <c r="P27" s="42">
        <v>0</v>
      </c>
      <c r="S27" s="40">
        <v>0</v>
      </c>
      <c r="W27" s="9" t="s">
        <v>28</v>
      </c>
      <c r="X27" s="1">
        <f t="shared" si="8"/>
        <v>105</v>
      </c>
      <c r="Y27" s="1">
        <f t="shared" si="9"/>
        <v>256</v>
      </c>
      <c r="Z27" s="7">
        <f t="shared" si="10"/>
        <v>2.44</v>
      </c>
      <c r="AC27" s="9" t="str">
        <f>W20</f>
        <v>Admin, AMC</v>
      </c>
      <c r="AD27" s="14">
        <f t="shared" si="6"/>
        <v>0</v>
      </c>
      <c r="AG27" s="57" t="str">
        <f>W63</f>
        <v>Foxy</v>
      </c>
      <c r="AH27" s="12">
        <f>'Week 1'!AD12</f>
        <v>2.616809116809117</v>
      </c>
    </row>
    <row r="28" spans="1:40" x14ac:dyDescent="0.3">
      <c r="A28" s="44" t="s">
        <v>32</v>
      </c>
      <c r="D28" s="40">
        <v>0</v>
      </c>
      <c r="E28" s="41"/>
      <c r="F28" s="41"/>
      <c r="G28" s="41"/>
      <c r="H28" s="42">
        <v>0</v>
      </c>
      <c r="K28" s="41"/>
      <c r="L28" s="42">
        <v>0</v>
      </c>
      <c r="O28" s="41"/>
      <c r="P28" s="42">
        <v>0</v>
      </c>
      <c r="S28" s="40">
        <v>0</v>
      </c>
      <c r="W28" s="9" t="s">
        <v>29</v>
      </c>
      <c r="X28" s="1">
        <f t="shared" si="8"/>
        <v>60</v>
      </c>
      <c r="Y28" s="1">
        <f t="shared" si="9"/>
        <v>188</v>
      </c>
      <c r="Z28" s="7">
        <f t="shared" si="10"/>
        <v>3.13</v>
      </c>
      <c r="AC28" s="27" t="s">
        <v>66</v>
      </c>
      <c r="AD28" s="16">
        <f>SUM(AD18:AD27)</f>
        <v>5</v>
      </c>
    </row>
    <row r="29" spans="1:40" x14ac:dyDescent="0.3">
      <c r="A29" s="44" t="s">
        <v>33</v>
      </c>
      <c r="D29" s="40">
        <v>12</v>
      </c>
      <c r="E29" s="41"/>
      <c r="F29" s="41"/>
      <c r="G29" s="41"/>
      <c r="H29" s="42">
        <v>37</v>
      </c>
      <c r="K29" s="41"/>
      <c r="L29" s="46">
        <v>351.48</v>
      </c>
      <c r="O29" s="41"/>
      <c r="P29" s="42">
        <v>3.08</v>
      </c>
      <c r="S29" s="47">
        <v>29.29</v>
      </c>
      <c r="W29" s="9" t="s">
        <v>31</v>
      </c>
      <c r="X29" s="1">
        <f t="shared" si="8"/>
        <v>0</v>
      </c>
      <c r="Y29" s="1">
        <f t="shared" si="9"/>
        <v>0</v>
      </c>
      <c r="Z29" s="7">
        <f t="shared" si="10"/>
        <v>0</v>
      </c>
      <c r="AD29" s="3"/>
    </row>
    <row r="30" spans="1:40" x14ac:dyDescent="0.3">
      <c r="A30" s="44" t="s">
        <v>86</v>
      </c>
      <c r="D30" s="40">
        <v>217</v>
      </c>
      <c r="E30" s="41"/>
      <c r="F30" s="41"/>
      <c r="G30" s="41"/>
      <c r="H30" s="42">
        <v>593</v>
      </c>
      <c r="K30" s="41"/>
      <c r="L30" s="46">
        <v>5319.91</v>
      </c>
      <c r="O30" s="41"/>
      <c r="P30" s="42">
        <v>2.73</v>
      </c>
      <c r="S30" s="47">
        <v>24.52</v>
      </c>
      <c r="W30" s="9" t="s">
        <v>32</v>
      </c>
      <c r="X30" s="1">
        <f t="shared" si="8"/>
        <v>0</v>
      </c>
      <c r="Y30" s="1">
        <f t="shared" si="9"/>
        <v>0</v>
      </c>
      <c r="Z30" s="7">
        <f t="shared" si="10"/>
        <v>0</v>
      </c>
      <c r="AC30" s="23" t="str">
        <f>W22</f>
        <v>Bonnie</v>
      </c>
      <c r="AD30" s="26" t="s">
        <v>58</v>
      </c>
      <c r="AG30" s="67" t="s">
        <v>92</v>
      </c>
      <c r="AH30" s="68"/>
    </row>
    <row r="31" spans="1:40" x14ac:dyDescent="0.3">
      <c r="A31" s="44" t="s">
        <v>34</v>
      </c>
      <c r="D31" s="40">
        <v>112</v>
      </c>
      <c r="E31" s="41"/>
      <c r="F31" s="41"/>
      <c r="G31" s="41"/>
      <c r="H31" s="42">
        <v>330</v>
      </c>
      <c r="K31" s="41"/>
      <c r="L31" s="46">
        <v>3000.93</v>
      </c>
      <c r="O31" s="41"/>
      <c r="P31" s="42">
        <v>2.95</v>
      </c>
      <c r="S31" s="47">
        <v>26.79</v>
      </c>
      <c r="W31" s="9" t="s">
        <v>41</v>
      </c>
      <c r="X31" s="1">
        <f t="shared" si="8"/>
        <v>23</v>
      </c>
      <c r="Y31" s="1">
        <f t="shared" si="9"/>
        <v>62</v>
      </c>
      <c r="Z31" s="7">
        <f t="shared" si="10"/>
        <v>2.7</v>
      </c>
      <c r="AC31" s="9" t="str">
        <f>W25</f>
        <v>Zeller, Daniel</v>
      </c>
      <c r="AD31" s="14">
        <f t="shared" ref="AD31:AD40" si="11">IF(VLOOKUP(AC31,$W:$Z,2,FALSE)&gt;=100,
    IF(VLOOKUP(AC31,$W:$Z,4,FALSE)&gt;$AD$13,
        IF(VLOOKUP(AC31,$W:$Z,4,FALSE)&gt;=$AD$13+0.5,3,
            IF(VLOOKUP(AC31,$W:$Z,4,FALSE)&gt;=$AD$13+0.25,2,1)
        ),
    0),
0)</f>
        <v>0</v>
      </c>
      <c r="AG31" s="56" t="str">
        <f>W8</f>
        <v>Chica</v>
      </c>
      <c r="AH31" s="14">
        <f>IF(AD8&gt;AH23,1,0)</f>
        <v>1</v>
      </c>
    </row>
    <row r="32" spans="1:40" x14ac:dyDescent="0.3">
      <c r="A32" s="44" t="s">
        <v>35</v>
      </c>
      <c r="D32" s="40">
        <v>14</v>
      </c>
      <c r="E32" s="41"/>
      <c r="F32" s="41"/>
      <c r="G32" s="41"/>
      <c r="H32" s="42">
        <v>37</v>
      </c>
      <c r="K32" s="41"/>
      <c r="L32" s="46">
        <v>315.66000000000003</v>
      </c>
      <c r="O32" s="41"/>
      <c r="P32" s="42">
        <v>2.64</v>
      </c>
      <c r="S32" s="47">
        <v>22.55</v>
      </c>
      <c r="W32" s="9" t="s">
        <v>46</v>
      </c>
      <c r="X32" s="1">
        <f t="shared" si="8"/>
        <v>76</v>
      </c>
      <c r="Y32" s="1">
        <f t="shared" si="9"/>
        <v>217</v>
      </c>
      <c r="Z32" s="7">
        <f t="shared" si="10"/>
        <v>2.86</v>
      </c>
      <c r="AC32" s="9" t="str">
        <f>W26</f>
        <v>Dick, Emilie</v>
      </c>
      <c r="AD32" s="14">
        <f t="shared" si="11"/>
        <v>0</v>
      </c>
      <c r="AG32" s="56" t="str">
        <f>W22</f>
        <v>Bonnie</v>
      </c>
      <c r="AH32" s="14">
        <f>IF(AD9&gt;AH24, 1,0)</f>
        <v>1</v>
      </c>
    </row>
    <row r="33" spans="1:34" x14ac:dyDescent="0.3">
      <c r="A33" s="44" t="s">
        <v>36</v>
      </c>
      <c r="D33" s="40">
        <v>0</v>
      </c>
      <c r="E33" s="41"/>
      <c r="F33" s="41"/>
      <c r="G33" s="41"/>
      <c r="H33" s="42">
        <v>0</v>
      </c>
      <c r="K33" s="41"/>
      <c r="L33" s="42">
        <v>0</v>
      </c>
      <c r="O33" s="41"/>
      <c r="P33" s="42">
        <v>0</v>
      </c>
      <c r="S33" s="40">
        <v>0</v>
      </c>
      <c r="W33" s="9" t="s">
        <v>50</v>
      </c>
      <c r="X33" s="1">
        <f t="shared" si="8"/>
        <v>140</v>
      </c>
      <c r="Y33" s="1">
        <f t="shared" si="9"/>
        <v>382</v>
      </c>
      <c r="Z33" s="7">
        <f t="shared" si="10"/>
        <v>2.73</v>
      </c>
      <c r="AC33" s="9" t="str">
        <f t="shared" ref="AC33:AC40" si="12">W27</f>
        <v>Farmer, Kasey</v>
      </c>
      <c r="AD33" s="14">
        <f t="shared" si="11"/>
        <v>0</v>
      </c>
      <c r="AG33" s="56" t="str">
        <f>W36</f>
        <v>Freddy</v>
      </c>
      <c r="AH33" s="14">
        <f>IF(AD10&gt;AH25, 1,0)</f>
        <v>0</v>
      </c>
    </row>
    <row r="34" spans="1:34" x14ac:dyDescent="0.3">
      <c r="A34" s="44" t="s">
        <v>82</v>
      </c>
      <c r="D34" s="40">
        <v>191</v>
      </c>
      <c r="E34" s="41"/>
      <c r="F34" s="41"/>
      <c r="G34" s="41"/>
      <c r="H34" s="42">
        <v>515</v>
      </c>
      <c r="K34" s="41"/>
      <c r="L34" s="46">
        <v>4776.96</v>
      </c>
      <c r="O34" s="41"/>
      <c r="P34" s="42">
        <v>2.7</v>
      </c>
      <c r="S34" s="47">
        <v>25.01</v>
      </c>
      <c r="V34" s="1" t="s">
        <v>100</v>
      </c>
      <c r="W34" s="10" t="s">
        <v>17</v>
      </c>
      <c r="X34" s="11">
        <f t="shared" si="8"/>
        <v>0</v>
      </c>
      <c r="Y34" s="11">
        <f t="shared" si="9"/>
        <v>0</v>
      </c>
      <c r="Z34" s="12">
        <f t="shared" si="10"/>
        <v>0</v>
      </c>
      <c r="AC34" s="9" t="str">
        <f t="shared" si="12"/>
        <v>Gashu, Amanuel</v>
      </c>
      <c r="AD34" s="14">
        <f t="shared" si="11"/>
        <v>0</v>
      </c>
      <c r="AG34" s="56" t="str">
        <f>W50</f>
        <v>Balloon Boy</v>
      </c>
      <c r="AH34" s="14">
        <f t="shared" ref="AH34:AH35" si="13">IF(AD11&gt;AH26, 1,0)</f>
        <v>1</v>
      </c>
    </row>
    <row r="35" spans="1:34" x14ac:dyDescent="0.3">
      <c r="A35" s="44" t="s">
        <v>90</v>
      </c>
      <c r="D35" s="40">
        <v>0</v>
      </c>
      <c r="E35" s="41"/>
      <c r="F35" s="41"/>
      <c r="G35" s="41"/>
      <c r="H35" s="42">
        <v>0</v>
      </c>
      <c r="K35" s="41"/>
      <c r="L35" s="42">
        <v>0</v>
      </c>
      <c r="O35" s="41"/>
      <c r="P35" s="42">
        <v>0</v>
      </c>
      <c r="S35" s="40">
        <v>0</v>
      </c>
      <c r="AC35" s="9" t="str">
        <f t="shared" si="12"/>
        <v>Grover, Grover</v>
      </c>
      <c r="AD35" s="14">
        <f t="shared" si="11"/>
        <v>0</v>
      </c>
      <c r="AG35" s="57" t="str">
        <f>W63</f>
        <v>Foxy</v>
      </c>
      <c r="AH35" s="16">
        <f t="shared" si="13"/>
        <v>0</v>
      </c>
    </row>
    <row r="36" spans="1:34" x14ac:dyDescent="0.3">
      <c r="A36" s="44" t="s">
        <v>37</v>
      </c>
      <c r="D36" s="40">
        <v>180</v>
      </c>
      <c r="E36" s="41"/>
      <c r="F36" s="41"/>
      <c r="G36" s="41"/>
      <c r="H36" s="42">
        <v>510</v>
      </c>
      <c r="K36" s="41"/>
      <c r="L36" s="46">
        <v>4681.6000000000004</v>
      </c>
      <c r="O36" s="41"/>
      <c r="P36" s="42">
        <v>2.83</v>
      </c>
      <c r="S36" s="47">
        <v>26.01</v>
      </c>
      <c r="W36" s="62" t="s">
        <v>80</v>
      </c>
      <c r="X36" s="64"/>
      <c r="Y36" s="28" t="s">
        <v>7</v>
      </c>
      <c r="Z36" s="4">
        <f>(SUM(Y39:Y48)/SUM(X39:X48))</f>
        <v>2.6085918854415273</v>
      </c>
      <c r="AC36" s="9" t="str">
        <f t="shared" si="12"/>
        <v>Hatch, Aidan</v>
      </c>
      <c r="AD36" s="14">
        <f t="shared" si="11"/>
        <v>0</v>
      </c>
    </row>
    <row r="37" spans="1:34" x14ac:dyDescent="0.3">
      <c r="A37" s="44" t="s">
        <v>38</v>
      </c>
      <c r="D37" s="40">
        <v>58</v>
      </c>
      <c r="E37" s="41"/>
      <c r="F37" s="41"/>
      <c r="G37" s="41"/>
      <c r="H37" s="42">
        <v>192</v>
      </c>
      <c r="K37" s="41"/>
      <c r="L37" s="46">
        <v>1720.68</v>
      </c>
      <c r="O37" s="41"/>
      <c r="P37" s="42">
        <v>3.31</v>
      </c>
      <c r="S37" s="47">
        <v>29.67</v>
      </c>
      <c r="W37" s="8"/>
      <c r="Z37" s="7"/>
      <c r="AC37" s="9" t="str">
        <f t="shared" si="12"/>
        <v>Miller, Taytem</v>
      </c>
      <c r="AD37" s="14">
        <f t="shared" si="11"/>
        <v>0</v>
      </c>
    </row>
    <row r="38" spans="1:34" x14ac:dyDescent="0.3">
      <c r="A38" s="44" t="s">
        <v>39</v>
      </c>
      <c r="D38" s="40">
        <v>61</v>
      </c>
      <c r="E38" s="41"/>
      <c r="F38" s="41"/>
      <c r="G38" s="41"/>
      <c r="H38" s="42">
        <v>151</v>
      </c>
      <c r="K38" s="41"/>
      <c r="L38" s="46">
        <v>1429.46</v>
      </c>
      <c r="O38" s="41"/>
      <c r="P38" s="42">
        <v>2.48</v>
      </c>
      <c r="S38" s="47">
        <v>23.43</v>
      </c>
      <c r="U38" s="9"/>
      <c r="W38" s="8"/>
      <c r="X38" s="24" t="s">
        <v>52</v>
      </c>
      <c r="Y38" s="24" t="s">
        <v>13</v>
      </c>
      <c r="Z38" s="25" t="s">
        <v>7</v>
      </c>
      <c r="AC38" s="9" t="str">
        <f t="shared" si="12"/>
        <v>Ryder, Erin</v>
      </c>
      <c r="AD38" s="14">
        <f t="shared" si="11"/>
        <v>0</v>
      </c>
    </row>
    <row r="39" spans="1:34" x14ac:dyDescent="0.3">
      <c r="A39" s="44" t="s">
        <v>40</v>
      </c>
      <c r="D39" s="40">
        <v>102</v>
      </c>
      <c r="E39" s="41"/>
      <c r="F39" s="41"/>
      <c r="G39" s="41"/>
      <c r="H39" s="42">
        <v>229</v>
      </c>
      <c r="K39" s="41"/>
      <c r="L39" s="46">
        <v>2006.11</v>
      </c>
      <c r="O39" s="41"/>
      <c r="P39" s="42">
        <v>2.25</v>
      </c>
      <c r="S39" s="47">
        <v>19.670000000000002</v>
      </c>
      <c r="W39" s="9" t="s">
        <v>25</v>
      </c>
      <c r="X39" s="1">
        <f>VLOOKUP(W39,$A$12:$S$57, 4,FALSE)</f>
        <v>57</v>
      </c>
      <c r="Y39" s="1">
        <f>VLOOKUP(W39,$A$12:$S$57, 8,FALSE)</f>
        <v>158</v>
      </c>
      <c r="Z39" s="7">
        <f>VLOOKUP(W39,$A$12:$S$57, 16,FALSE)</f>
        <v>2.77</v>
      </c>
      <c r="AC39" s="9" t="str">
        <f t="shared" si="12"/>
        <v>Yandle, Chuck</v>
      </c>
      <c r="AD39" s="14">
        <f t="shared" si="11"/>
        <v>1</v>
      </c>
    </row>
    <row r="40" spans="1:34" x14ac:dyDescent="0.3">
      <c r="A40" s="44" t="s">
        <v>41</v>
      </c>
      <c r="D40" s="40">
        <v>23</v>
      </c>
      <c r="E40" s="41"/>
      <c r="F40" s="41"/>
      <c r="G40" s="41"/>
      <c r="H40" s="42">
        <v>62</v>
      </c>
      <c r="K40" s="41"/>
      <c r="L40" s="46">
        <v>672.67</v>
      </c>
      <c r="O40" s="41"/>
      <c r="P40" s="42">
        <v>2.7</v>
      </c>
      <c r="S40" s="47">
        <v>29.25</v>
      </c>
      <c r="W40" s="45" t="s">
        <v>20</v>
      </c>
      <c r="X40" s="1">
        <f t="shared" ref="X40:X48" si="14">VLOOKUP(W40,$A$12:$S$57, 4,FALSE)</f>
        <v>178</v>
      </c>
      <c r="Y40" s="1">
        <f t="shared" ref="Y40:Y48" si="15">VLOOKUP(W40,$A$12:$S$57, 8,FALSE)</f>
        <v>470</v>
      </c>
      <c r="Z40" s="7">
        <f t="shared" ref="Z40:Z48" si="16">VLOOKUP(W40,$A$12:$S$57, 16,FALSE)</f>
        <v>2.64</v>
      </c>
      <c r="AC40" s="9" t="str">
        <f t="shared" si="12"/>
        <v>Admin, AMC</v>
      </c>
      <c r="AD40" s="14">
        <f t="shared" si="11"/>
        <v>0</v>
      </c>
    </row>
    <row r="41" spans="1:34" x14ac:dyDescent="0.3">
      <c r="A41" s="44" t="s">
        <v>42</v>
      </c>
      <c r="D41" s="40">
        <v>68</v>
      </c>
      <c r="E41" s="41"/>
      <c r="F41" s="41"/>
      <c r="G41" s="41"/>
      <c r="H41" s="42">
        <v>164</v>
      </c>
      <c r="K41" s="41"/>
      <c r="L41" s="46">
        <v>1566.75</v>
      </c>
      <c r="O41" s="41"/>
      <c r="P41" s="42">
        <v>2.41</v>
      </c>
      <c r="S41" s="47">
        <v>23.04</v>
      </c>
      <c r="W41" s="45" t="s">
        <v>23</v>
      </c>
      <c r="X41" s="1">
        <f t="shared" si="14"/>
        <v>172</v>
      </c>
      <c r="Y41" s="1">
        <f t="shared" si="15"/>
        <v>428</v>
      </c>
      <c r="Z41" s="7">
        <f t="shared" si="16"/>
        <v>2.4900000000000002</v>
      </c>
      <c r="AC41" s="27" t="s">
        <v>66</v>
      </c>
      <c r="AD41" s="16">
        <f>SUM(AD31:AD40)</f>
        <v>1</v>
      </c>
    </row>
    <row r="42" spans="1:34" x14ac:dyDescent="0.3">
      <c r="A42" s="44" t="s">
        <v>43</v>
      </c>
      <c r="D42" s="40">
        <v>101</v>
      </c>
      <c r="E42" s="41"/>
      <c r="F42" s="41"/>
      <c r="G42" s="41"/>
      <c r="H42" s="42">
        <v>244</v>
      </c>
      <c r="K42" s="41"/>
      <c r="L42" s="46">
        <v>2739.62</v>
      </c>
      <c r="O42" s="41"/>
      <c r="P42" s="42">
        <v>2.42</v>
      </c>
      <c r="S42" s="47">
        <v>27.12</v>
      </c>
      <c r="W42" s="9" t="s">
        <v>24</v>
      </c>
      <c r="X42" s="1">
        <f t="shared" si="14"/>
        <v>0</v>
      </c>
      <c r="Y42" s="1">
        <f t="shared" si="15"/>
        <v>0</v>
      </c>
      <c r="Z42" s="7">
        <f t="shared" si="16"/>
        <v>0</v>
      </c>
      <c r="AD42" s="3"/>
    </row>
    <row r="43" spans="1:34" x14ac:dyDescent="0.3">
      <c r="A43" s="44" t="s">
        <v>44</v>
      </c>
      <c r="D43" s="40">
        <v>0</v>
      </c>
      <c r="E43" s="41"/>
      <c r="F43" s="41"/>
      <c r="G43" s="41"/>
      <c r="H43" s="42">
        <v>0</v>
      </c>
      <c r="K43" s="41"/>
      <c r="L43" s="42">
        <v>0</v>
      </c>
      <c r="O43" s="41"/>
      <c r="P43" s="42">
        <v>0</v>
      </c>
      <c r="S43" s="40">
        <v>0</v>
      </c>
      <c r="W43" s="9" t="s">
        <v>33</v>
      </c>
      <c r="X43" s="1">
        <f t="shared" si="14"/>
        <v>12</v>
      </c>
      <c r="Y43" s="1">
        <f t="shared" si="15"/>
        <v>37</v>
      </c>
      <c r="Z43" s="7">
        <f t="shared" si="16"/>
        <v>3.08</v>
      </c>
      <c r="AC43" s="23" t="str">
        <f>W36</f>
        <v>Freddy</v>
      </c>
      <c r="AD43" s="26" t="s">
        <v>58</v>
      </c>
    </row>
    <row r="44" spans="1:34" x14ac:dyDescent="0.3">
      <c r="A44" s="44" t="s">
        <v>83</v>
      </c>
      <c r="D44" s="40">
        <v>143</v>
      </c>
      <c r="E44" s="41"/>
      <c r="F44" s="41"/>
      <c r="G44" s="41"/>
      <c r="H44" s="42">
        <v>420</v>
      </c>
      <c r="K44" s="41"/>
      <c r="L44" s="46">
        <v>4213.2700000000004</v>
      </c>
      <c r="O44" s="41"/>
      <c r="P44" s="42">
        <v>2.94</v>
      </c>
      <c r="S44" s="47">
        <v>29.46</v>
      </c>
      <c r="W44" s="45" t="s">
        <v>36</v>
      </c>
      <c r="X44" s="1">
        <f t="shared" si="14"/>
        <v>0</v>
      </c>
      <c r="Y44" s="1">
        <f t="shared" si="15"/>
        <v>0</v>
      </c>
      <c r="Z44" s="7">
        <f t="shared" si="16"/>
        <v>0</v>
      </c>
      <c r="AC44" s="9" t="str">
        <f>W39</f>
        <v>DaPra, Kylan</v>
      </c>
      <c r="AD44" s="14">
        <f t="shared" ref="AD44:AD53" si="17">IF(VLOOKUP(AC44,$W:$Z,2,FALSE)&gt;=100,
    IF(VLOOKUP(AC44,$W:$Z,4,FALSE)&gt;$AD$13,
        IF(VLOOKUP(AC44,$W:$Z,4,FALSE)&gt;=$AD$13+0.5,3,
            IF(VLOOKUP(AC44,$W:$Z,4,FALSE)&gt;=$AD$13+0.25,2,1)
        ),
    0),
0)</f>
        <v>0</v>
      </c>
    </row>
    <row r="45" spans="1:34" x14ac:dyDescent="0.3">
      <c r="A45" s="44" t="s">
        <v>45</v>
      </c>
      <c r="D45" s="40">
        <v>146</v>
      </c>
      <c r="E45" s="41"/>
      <c r="F45" s="41"/>
      <c r="G45" s="41"/>
      <c r="H45" s="42">
        <v>358</v>
      </c>
      <c r="K45" s="41"/>
      <c r="L45" s="46">
        <v>3865.77</v>
      </c>
      <c r="O45" s="41"/>
      <c r="P45" s="42">
        <v>2.4500000000000002</v>
      </c>
      <c r="S45" s="47">
        <v>26.48</v>
      </c>
      <c r="W45" s="45" t="s">
        <v>48</v>
      </c>
      <c r="X45" s="1">
        <f t="shared" si="14"/>
        <v>0</v>
      </c>
      <c r="Y45" s="1">
        <f t="shared" si="15"/>
        <v>0</v>
      </c>
      <c r="Z45" s="7">
        <f t="shared" si="16"/>
        <v>0</v>
      </c>
      <c r="AC45" s="9" t="str">
        <f>W40</f>
        <v xml:space="preserve">Albert, Rowan </v>
      </c>
      <c r="AD45" s="14">
        <f t="shared" si="17"/>
        <v>0</v>
      </c>
    </row>
    <row r="46" spans="1:34" x14ac:dyDescent="0.3">
      <c r="A46" s="44" t="s">
        <v>46</v>
      </c>
      <c r="D46" s="40">
        <v>76</v>
      </c>
      <c r="E46" s="41"/>
      <c r="F46" s="41"/>
      <c r="G46" s="41"/>
      <c r="H46" s="42">
        <v>217</v>
      </c>
      <c r="K46" s="41"/>
      <c r="L46" s="46">
        <v>1884.84</v>
      </c>
      <c r="O46" s="41"/>
      <c r="P46" s="42">
        <v>2.86</v>
      </c>
      <c r="S46" s="47">
        <v>24.8</v>
      </c>
      <c r="V46" s="1" t="s">
        <v>94</v>
      </c>
      <c r="W46" s="9" t="s">
        <v>17</v>
      </c>
      <c r="X46" s="1">
        <f t="shared" si="14"/>
        <v>0</v>
      </c>
      <c r="Y46" s="1">
        <f t="shared" si="15"/>
        <v>0</v>
      </c>
      <c r="Z46" s="7">
        <f t="shared" si="16"/>
        <v>0</v>
      </c>
      <c r="AC46" s="9" t="str">
        <f t="shared" ref="AC46:AC53" si="18">W41</f>
        <v>Clemensen, Belle</v>
      </c>
      <c r="AD46" s="14">
        <f t="shared" si="17"/>
        <v>0</v>
      </c>
    </row>
    <row r="47" spans="1:34" x14ac:dyDescent="0.3">
      <c r="A47" s="44" t="s">
        <v>47</v>
      </c>
      <c r="D47" s="40">
        <v>177</v>
      </c>
      <c r="E47" s="41"/>
      <c r="F47" s="41"/>
      <c r="G47" s="41"/>
      <c r="H47" s="42">
        <v>412</v>
      </c>
      <c r="K47" s="41"/>
      <c r="L47" s="46">
        <v>4429.45</v>
      </c>
      <c r="O47" s="41"/>
      <c r="P47" s="42">
        <v>2.33</v>
      </c>
      <c r="S47" s="47">
        <v>25.03</v>
      </c>
      <c r="V47" s="1" t="s">
        <v>95</v>
      </c>
      <c r="W47" s="9" t="s">
        <v>17</v>
      </c>
      <c r="X47" s="1">
        <f t="shared" si="14"/>
        <v>0</v>
      </c>
      <c r="Y47" s="1">
        <f t="shared" si="15"/>
        <v>0</v>
      </c>
      <c r="Z47" s="7">
        <f t="shared" si="16"/>
        <v>0</v>
      </c>
      <c r="AC47" s="9" t="str">
        <f t="shared" si="18"/>
        <v>Cloud, Annette</v>
      </c>
      <c r="AD47" s="14">
        <f t="shared" si="17"/>
        <v>0</v>
      </c>
    </row>
    <row r="48" spans="1:34" x14ac:dyDescent="0.3">
      <c r="A48" s="44" t="s">
        <v>76</v>
      </c>
      <c r="D48" s="40">
        <v>52</v>
      </c>
      <c r="E48" s="41"/>
      <c r="F48" s="41"/>
      <c r="G48" s="41"/>
      <c r="H48" s="42">
        <v>168</v>
      </c>
      <c r="K48" s="41"/>
      <c r="L48" s="46">
        <v>1652.14</v>
      </c>
      <c r="O48" s="41"/>
      <c r="P48" s="42">
        <v>3.23</v>
      </c>
      <c r="S48" s="47">
        <v>31.77</v>
      </c>
      <c r="V48" s="1" t="s">
        <v>96</v>
      </c>
      <c r="W48" s="10" t="s">
        <v>17</v>
      </c>
      <c r="X48" s="11">
        <f t="shared" si="14"/>
        <v>0</v>
      </c>
      <c r="Y48" s="11">
        <f t="shared" si="15"/>
        <v>0</v>
      </c>
      <c r="Z48" s="12">
        <f t="shared" si="16"/>
        <v>0</v>
      </c>
      <c r="AC48" s="9" t="str">
        <f t="shared" si="18"/>
        <v>Hill, Gabby</v>
      </c>
      <c r="AD48" s="14">
        <f t="shared" si="17"/>
        <v>0</v>
      </c>
    </row>
    <row r="49" spans="1:30" x14ac:dyDescent="0.3">
      <c r="A49" s="44" t="s">
        <v>84</v>
      </c>
      <c r="D49" s="40">
        <v>212</v>
      </c>
      <c r="E49" s="41"/>
      <c r="F49" s="41"/>
      <c r="G49" s="41"/>
      <c r="H49" s="42">
        <v>645</v>
      </c>
      <c r="K49" s="41"/>
      <c r="L49" s="46">
        <v>5923.09</v>
      </c>
      <c r="O49" s="41"/>
      <c r="P49" s="42">
        <v>3.04</v>
      </c>
      <c r="S49" s="47">
        <v>27.94</v>
      </c>
      <c r="AC49" s="9" t="str">
        <f t="shared" si="18"/>
        <v>Koessler, Bayley</v>
      </c>
      <c r="AD49" s="14">
        <f t="shared" si="17"/>
        <v>0</v>
      </c>
    </row>
    <row r="50" spans="1:30" x14ac:dyDescent="0.3">
      <c r="A50" s="44" t="s">
        <v>74</v>
      </c>
      <c r="D50" s="40">
        <v>91</v>
      </c>
      <c r="E50" s="41"/>
      <c r="F50" s="41"/>
      <c r="G50" s="41"/>
      <c r="H50" s="42">
        <v>282</v>
      </c>
      <c r="K50" s="41"/>
      <c r="L50" s="46">
        <v>2647.55</v>
      </c>
      <c r="O50" s="41"/>
      <c r="P50" s="42">
        <v>3.1</v>
      </c>
      <c r="S50" s="47">
        <v>29.09</v>
      </c>
      <c r="W50" s="62" t="s">
        <v>93</v>
      </c>
      <c r="X50" s="64"/>
      <c r="Y50" s="28" t="s">
        <v>7</v>
      </c>
      <c r="Z50" s="4">
        <f>(SUM(Y53:Y61)/SUM(X53:X61))</f>
        <v>2.7127937336814623</v>
      </c>
      <c r="AC50" s="9" t="str">
        <f t="shared" si="18"/>
        <v>Wetsit, Karlos</v>
      </c>
      <c r="AD50" s="14">
        <f t="shared" si="17"/>
        <v>0</v>
      </c>
    </row>
    <row r="51" spans="1:30" x14ac:dyDescent="0.3">
      <c r="A51" s="44" t="s">
        <v>48</v>
      </c>
      <c r="D51" s="40">
        <v>0</v>
      </c>
      <c r="E51" s="41"/>
      <c r="F51" s="41"/>
      <c r="G51" s="41"/>
      <c r="H51" s="42">
        <v>0</v>
      </c>
      <c r="K51" s="41"/>
      <c r="L51" s="42">
        <v>0</v>
      </c>
      <c r="O51" s="41"/>
      <c r="P51" s="42">
        <v>0</v>
      </c>
      <c r="S51" s="40">
        <v>0</v>
      </c>
      <c r="W51" s="8"/>
      <c r="Z51" s="7"/>
      <c r="AC51" s="9" t="str">
        <f t="shared" si="18"/>
        <v>Admin, AMC</v>
      </c>
      <c r="AD51" s="14">
        <f t="shared" si="17"/>
        <v>0</v>
      </c>
    </row>
    <row r="52" spans="1:30" x14ac:dyDescent="0.3">
      <c r="A52" s="44" t="s">
        <v>49</v>
      </c>
      <c r="D52" s="40">
        <v>6</v>
      </c>
      <c r="E52" s="41"/>
      <c r="F52" s="41"/>
      <c r="G52" s="41"/>
      <c r="H52" s="42">
        <v>18</v>
      </c>
      <c r="K52" s="41"/>
      <c r="L52" s="46">
        <v>164.45</v>
      </c>
      <c r="O52" s="41"/>
      <c r="P52" s="42">
        <v>3</v>
      </c>
      <c r="S52" s="47">
        <v>27.41</v>
      </c>
      <c r="W52" s="8"/>
      <c r="X52" s="24" t="s">
        <v>52</v>
      </c>
      <c r="Y52" s="24" t="s">
        <v>13</v>
      </c>
      <c r="Z52" s="25" t="s">
        <v>7</v>
      </c>
      <c r="AC52" s="9" t="str">
        <f t="shared" si="18"/>
        <v>Admin, AMC</v>
      </c>
      <c r="AD52" s="14">
        <f t="shared" si="17"/>
        <v>0</v>
      </c>
    </row>
    <row r="53" spans="1:30" x14ac:dyDescent="0.3">
      <c r="A53" s="44" t="s">
        <v>50</v>
      </c>
      <c r="D53" s="40">
        <v>140</v>
      </c>
      <c r="E53" s="41"/>
      <c r="F53" s="41"/>
      <c r="G53" s="41"/>
      <c r="H53" s="42">
        <v>382</v>
      </c>
      <c r="K53" s="41"/>
      <c r="L53" s="46">
        <v>3574.34</v>
      </c>
      <c r="O53" s="41"/>
      <c r="P53" s="42">
        <v>2.73</v>
      </c>
      <c r="S53" s="47">
        <v>25.53</v>
      </c>
      <c r="W53" s="9" t="s">
        <v>35</v>
      </c>
      <c r="X53" s="1">
        <f>VLOOKUP(W53,$A$12:$S$57, 4,FALSE)</f>
        <v>14</v>
      </c>
      <c r="Y53" s="1">
        <f>VLOOKUP(W53,$A$12:$S$57, 8,FALSE)</f>
        <v>37</v>
      </c>
      <c r="Z53" s="7">
        <f>VLOOKUP(W53,$A$12:$S$57, 16,FALSE)</f>
        <v>2.64</v>
      </c>
      <c r="AC53" s="9" t="str">
        <f t="shared" si="18"/>
        <v>Admin, AMC</v>
      </c>
      <c r="AD53" s="14">
        <f t="shared" si="17"/>
        <v>0</v>
      </c>
    </row>
    <row r="54" spans="1:30" x14ac:dyDescent="0.3">
      <c r="A54" s="44" t="s">
        <v>51</v>
      </c>
      <c r="D54" s="40">
        <v>25</v>
      </c>
      <c r="E54" s="41"/>
      <c r="F54" s="41"/>
      <c r="G54" s="41"/>
      <c r="H54" s="42">
        <v>75</v>
      </c>
      <c r="K54" s="41"/>
      <c r="L54" s="46">
        <v>730.13</v>
      </c>
      <c r="O54" s="41"/>
      <c r="P54" s="42">
        <v>3</v>
      </c>
      <c r="S54" s="47">
        <v>29.21</v>
      </c>
      <c r="W54" s="45" t="s">
        <v>86</v>
      </c>
      <c r="X54" s="1">
        <f>VLOOKUP(W54,$A$12:$S$57, 4,FALSE)</f>
        <v>217</v>
      </c>
      <c r="Y54" s="1">
        <f t="shared" ref="Y54:Y61" si="19">VLOOKUP(W54,$A$12:$S$57, 8,FALSE)</f>
        <v>593</v>
      </c>
      <c r="Z54" s="7">
        <f t="shared" ref="Z54:Z61" si="20">VLOOKUP(W54,$A$12:$S$57, 16,FALSE)</f>
        <v>2.73</v>
      </c>
      <c r="AC54" s="27" t="s">
        <v>66</v>
      </c>
      <c r="AD54" s="16">
        <f>SUM(AD44:AD53)</f>
        <v>0</v>
      </c>
    </row>
    <row r="55" spans="1:30" x14ac:dyDescent="0.3">
      <c r="A55" s="44" t="s">
        <v>77</v>
      </c>
      <c r="D55" s="40">
        <v>23</v>
      </c>
      <c r="E55" s="41"/>
      <c r="F55" s="41"/>
      <c r="G55" s="41"/>
      <c r="H55" s="42">
        <v>48</v>
      </c>
      <c r="K55" s="41"/>
      <c r="L55" s="46">
        <v>688.67</v>
      </c>
      <c r="O55" s="41"/>
      <c r="P55" s="42">
        <v>2.09</v>
      </c>
      <c r="S55" s="47">
        <v>29.94</v>
      </c>
      <c r="W55" s="45" t="s">
        <v>90</v>
      </c>
      <c r="X55" s="1">
        <f t="shared" ref="X55:X61" si="21">VLOOKUP(W55,$A$12:$S$57, 4,FALSE)</f>
        <v>0</v>
      </c>
      <c r="Y55" s="1">
        <f t="shared" si="19"/>
        <v>0</v>
      </c>
      <c r="Z55" s="7">
        <f t="shared" si="20"/>
        <v>0</v>
      </c>
      <c r="AD55" s="3"/>
    </row>
    <row r="56" spans="1:30" x14ac:dyDescent="0.3">
      <c r="W56" s="45" t="s">
        <v>40</v>
      </c>
      <c r="X56" s="1">
        <f t="shared" si="21"/>
        <v>102</v>
      </c>
      <c r="Y56" s="1">
        <f t="shared" si="19"/>
        <v>229</v>
      </c>
      <c r="Z56" s="7">
        <f t="shared" si="20"/>
        <v>2.25</v>
      </c>
      <c r="AC56" s="23" t="str">
        <f>W50</f>
        <v>Balloon Boy</v>
      </c>
      <c r="AD56" s="26" t="s">
        <v>58</v>
      </c>
    </row>
    <row r="57" spans="1:30" x14ac:dyDescent="0.3">
      <c r="W57" s="45" t="s">
        <v>45</v>
      </c>
      <c r="X57" s="1">
        <f t="shared" si="21"/>
        <v>146</v>
      </c>
      <c r="Y57" s="1">
        <f t="shared" si="19"/>
        <v>358</v>
      </c>
      <c r="Z57" s="7">
        <f t="shared" si="20"/>
        <v>2.4500000000000002</v>
      </c>
      <c r="AC57" s="9" t="str">
        <f>W53</f>
        <v>Kelly, Ryan</v>
      </c>
      <c r="AD57" s="14">
        <f t="shared" ref="AD57:AD65" si="22">IF(VLOOKUP(AC57,$W:$Z,2,FALSE)&gt;=100,
    IF(VLOOKUP(AC57,$W:$Z,4,FALSE)&gt;$AD$13,
        IF(VLOOKUP(AC57,$W:$Z,4,FALSE)&gt;=$AD$13+0.5,3,
            IF(VLOOKUP(AC57,$W:$Z,4,FALSE)&gt;=$AD$13+0.25,2,1)
        ),
    0),
0)</f>
        <v>0</v>
      </c>
    </row>
    <row r="58" spans="1:30" x14ac:dyDescent="0.3">
      <c r="V58" s="2"/>
      <c r="W58" s="45" t="s">
        <v>76</v>
      </c>
      <c r="X58" s="1">
        <f t="shared" si="21"/>
        <v>52</v>
      </c>
      <c r="Y58" s="1">
        <f t="shared" si="19"/>
        <v>168</v>
      </c>
      <c r="Z58" s="7">
        <f t="shared" si="20"/>
        <v>3.23</v>
      </c>
      <c r="AC58" s="9" t="str">
        <f>W54</f>
        <v>Isreal, Zeal</v>
      </c>
      <c r="AD58" s="14">
        <f t="shared" si="22"/>
        <v>1</v>
      </c>
    </row>
    <row r="59" spans="1:30" x14ac:dyDescent="0.3">
      <c r="W59" s="45" t="s">
        <v>84</v>
      </c>
      <c r="X59" s="1">
        <f t="shared" si="21"/>
        <v>212</v>
      </c>
      <c r="Y59" s="1">
        <f t="shared" si="19"/>
        <v>645</v>
      </c>
      <c r="Z59" s="7">
        <f t="shared" si="20"/>
        <v>3.04</v>
      </c>
      <c r="AC59" s="9" t="str">
        <f t="shared" ref="AC59:AC62" si="23">W55</f>
        <v>Lingg, Beckett</v>
      </c>
      <c r="AD59" s="14">
        <f t="shared" si="22"/>
        <v>0</v>
      </c>
    </row>
    <row r="60" spans="1:30" x14ac:dyDescent="0.3">
      <c r="W60" s="45" t="s">
        <v>77</v>
      </c>
      <c r="X60" s="1">
        <f t="shared" si="21"/>
        <v>23</v>
      </c>
      <c r="Y60" s="1">
        <f t="shared" si="19"/>
        <v>48</v>
      </c>
      <c r="Z60" s="7">
        <f t="shared" si="20"/>
        <v>2.09</v>
      </c>
      <c r="AC60" s="9" t="str">
        <f t="shared" si="23"/>
        <v>McChesney, Jack</v>
      </c>
      <c r="AD60" s="14">
        <f t="shared" si="22"/>
        <v>0</v>
      </c>
    </row>
    <row r="61" spans="1:30" x14ac:dyDescent="0.3">
      <c r="V61" s="1" t="s">
        <v>97</v>
      </c>
      <c r="W61" s="10" t="s">
        <v>17</v>
      </c>
      <c r="X61" s="11">
        <f t="shared" si="21"/>
        <v>0</v>
      </c>
      <c r="Y61" s="11">
        <f t="shared" si="19"/>
        <v>0</v>
      </c>
      <c r="Z61" s="12">
        <f t="shared" si="20"/>
        <v>0</v>
      </c>
      <c r="AC61" s="9" t="str">
        <f t="shared" si="23"/>
        <v>Perez-Tellez, Damien</v>
      </c>
      <c r="AD61" s="14">
        <f t="shared" si="22"/>
        <v>0</v>
      </c>
    </row>
    <row r="62" spans="1:30" x14ac:dyDescent="0.3">
      <c r="AC62" s="9" t="str">
        <f t="shared" si="23"/>
        <v>Shteyngart, Jenna</v>
      </c>
      <c r="AD62" s="14">
        <f t="shared" si="22"/>
        <v>0</v>
      </c>
    </row>
    <row r="63" spans="1:30" x14ac:dyDescent="0.3">
      <c r="W63" s="62" t="s">
        <v>81</v>
      </c>
      <c r="X63" s="64"/>
      <c r="Y63" s="28" t="s">
        <v>7</v>
      </c>
      <c r="Z63" s="4">
        <f>(SUM(Y66:Y74)/SUM(X66:X74))</f>
        <v>2.6019999999999999</v>
      </c>
      <c r="AC63" s="9" t="str">
        <f>W59</f>
        <v>Smith, Anders</v>
      </c>
      <c r="AD63" s="14">
        <f t="shared" si="22"/>
        <v>2</v>
      </c>
    </row>
    <row r="64" spans="1:30" x14ac:dyDescent="0.3">
      <c r="W64" s="5"/>
      <c r="X64" s="6"/>
      <c r="Z64" s="7"/>
      <c r="AC64" s="9" t="str">
        <f>W60</f>
        <v>Zinn Krulewitch, Mari</v>
      </c>
      <c r="AD64" s="14">
        <f t="shared" si="22"/>
        <v>0</v>
      </c>
    </row>
    <row r="65" spans="22:30" x14ac:dyDescent="0.3">
      <c r="W65" s="8"/>
      <c r="X65" s="24" t="s">
        <v>52</v>
      </c>
      <c r="Y65" s="24" t="s">
        <v>13</v>
      </c>
      <c r="Z65" s="25" t="s">
        <v>7</v>
      </c>
      <c r="AC65" s="9" t="str">
        <f>W61</f>
        <v>Admin, AMC</v>
      </c>
      <c r="AD65" s="14">
        <f t="shared" si="22"/>
        <v>0</v>
      </c>
    </row>
    <row r="66" spans="22:30" x14ac:dyDescent="0.3">
      <c r="W66" s="45" t="s">
        <v>42</v>
      </c>
      <c r="X66" s="1">
        <f>VLOOKUP(W66,$A$12:$S$57, 4,FALSE)</f>
        <v>68</v>
      </c>
      <c r="Y66" s="1">
        <f>VLOOKUP(W66,$A$12:$S$57, 8,FALSE)</f>
        <v>164</v>
      </c>
      <c r="Z66" s="7">
        <f>VLOOKUP(W66,$A$12:$S$57, 16,FALSE)</f>
        <v>2.41</v>
      </c>
      <c r="AC66" s="27" t="s">
        <v>66</v>
      </c>
      <c r="AD66" s="16">
        <f>SUM(AD57:AD65)</f>
        <v>3</v>
      </c>
    </row>
    <row r="67" spans="22:30" x14ac:dyDescent="0.3">
      <c r="W67" s="45" t="s">
        <v>21</v>
      </c>
      <c r="X67" s="1">
        <f>VLOOKUP(W67,$A$12:$S$57, 4,FALSE)</f>
        <v>0</v>
      </c>
      <c r="Y67" s="1">
        <f t="shared" ref="Y67:Y74" si="24">VLOOKUP(W67,$A$12:$S$57, 8,FALSE)</f>
        <v>0</v>
      </c>
      <c r="Z67" s="7">
        <f t="shared" ref="Z67:Z74" si="25">VLOOKUP(W67,$A$12:$S$57, 16,FALSE)</f>
        <v>0</v>
      </c>
      <c r="AD67" s="3"/>
    </row>
    <row r="68" spans="22:30" x14ac:dyDescent="0.3">
      <c r="W68" s="9" t="s">
        <v>26</v>
      </c>
      <c r="X68" s="1">
        <f t="shared" ref="X68:X74" si="26">VLOOKUP(W68,$A$12:$S$57, 4,FALSE)</f>
        <v>0</v>
      </c>
      <c r="Y68" s="1">
        <f t="shared" si="24"/>
        <v>0</v>
      </c>
      <c r="Z68" s="7">
        <f t="shared" si="25"/>
        <v>0</v>
      </c>
      <c r="AC68" s="23" t="str">
        <f>W63</f>
        <v>Foxy</v>
      </c>
      <c r="AD68" s="26" t="s">
        <v>58</v>
      </c>
    </row>
    <row r="69" spans="22:30" x14ac:dyDescent="0.3">
      <c r="W69" s="45" t="s">
        <v>82</v>
      </c>
      <c r="X69" s="1">
        <f t="shared" si="26"/>
        <v>191</v>
      </c>
      <c r="Y69" s="1">
        <f t="shared" si="24"/>
        <v>515</v>
      </c>
      <c r="Z69" s="7">
        <f t="shared" si="25"/>
        <v>2.7</v>
      </c>
      <c r="AC69" s="9" t="str">
        <f>W66</f>
        <v>Mitchell, Gabe</v>
      </c>
      <c r="AD69" s="14">
        <f t="shared" ref="AD69:AD77" si="27">IF(VLOOKUP(AC69,$W:$Z,2,FALSE)&gt;=100,
    IF(VLOOKUP(AC69,$W:$Z,4,FALSE)&gt;$AD$13,
        IF(VLOOKUP(AC69,$W:$Z,4,FALSE)&gt;=$AD$13+0.5,3,
            IF(VLOOKUP(AC69,$W:$Z,4,FALSE)&gt;=$AD$13+0.25,2,1)
        ),
    0),
0)</f>
        <v>0</v>
      </c>
    </row>
    <row r="70" spans="22:30" x14ac:dyDescent="0.3">
      <c r="W70" s="9" t="s">
        <v>38</v>
      </c>
      <c r="X70" s="1">
        <f t="shared" si="26"/>
        <v>58</v>
      </c>
      <c r="Y70" s="1">
        <f t="shared" si="24"/>
        <v>192</v>
      </c>
      <c r="Z70" s="7">
        <f t="shared" si="25"/>
        <v>3.31</v>
      </c>
      <c r="AC70" s="9" t="str">
        <f>W67</f>
        <v>Alemayehu, Eyouel</v>
      </c>
      <c r="AD70" s="14">
        <f t="shared" si="27"/>
        <v>0</v>
      </c>
    </row>
    <row r="71" spans="22:30" x14ac:dyDescent="0.3">
      <c r="W71" s="9" t="s">
        <v>47</v>
      </c>
      <c r="X71" s="1">
        <f t="shared" si="26"/>
        <v>177</v>
      </c>
      <c r="Y71" s="1">
        <f t="shared" si="24"/>
        <v>412</v>
      </c>
      <c r="Z71" s="7">
        <f t="shared" si="25"/>
        <v>2.33</v>
      </c>
      <c r="AC71" s="9" t="str">
        <f t="shared" ref="AC71:AC77" si="28">W68</f>
        <v>Delelu, Samra</v>
      </c>
      <c r="AD71" s="14">
        <f t="shared" si="27"/>
        <v>0</v>
      </c>
    </row>
    <row r="72" spans="22:30" x14ac:dyDescent="0.3">
      <c r="W72" s="45" t="s">
        <v>49</v>
      </c>
      <c r="X72" s="1">
        <f t="shared" si="26"/>
        <v>6</v>
      </c>
      <c r="Y72" s="1">
        <f t="shared" si="24"/>
        <v>18</v>
      </c>
      <c r="Z72" s="7">
        <f t="shared" si="25"/>
        <v>3</v>
      </c>
      <c r="AC72" s="9" t="str">
        <f t="shared" si="28"/>
        <v>Krause, Daniel</v>
      </c>
      <c r="AD72" s="14">
        <f t="shared" si="27"/>
        <v>0</v>
      </c>
    </row>
    <row r="73" spans="22:30" x14ac:dyDescent="0.3">
      <c r="V73" s="1" t="s">
        <v>98</v>
      </c>
      <c r="W73" s="9" t="s">
        <v>17</v>
      </c>
      <c r="X73" s="1">
        <f>VLOOKUP(W73,$A$12:$S$57, 4,FALSE)</f>
        <v>0</v>
      </c>
      <c r="Y73" s="1">
        <f t="shared" si="24"/>
        <v>0</v>
      </c>
      <c r="Z73" s="7">
        <f t="shared" si="25"/>
        <v>0</v>
      </c>
      <c r="AC73" s="9" t="str">
        <f t="shared" si="28"/>
        <v>Lopez, Matthew</v>
      </c>
      <c r="AD73" s="14">
        <f t="shared" si="27"/>
        <v>0</v>
      </c>
    </row>
    <row r="74" spans="22:30" x14ac:dyDescent="0.3">
      <c r="V74" s="1" t="s">
        <v>99</v>
      </c>
      <c r="W74" s="10" t="s">
        <v>17</v>
      </c>
      <c r="X74" s="11">
        <f t="shared" si="26"/>
        <v>0</v>
      </c>
      <c r="Y74" s="11">
        <f t="shared" si="24"/>
        <v>0</v>
      </c>
      <c r="Z74" s="12">
        <f t="shared" si="25"/>
        <v>0</v>
      </c>
      <c r="AC74" s="9" t="str">
        <f t="shared" si="28"/>
        <v>Santaella, Adriana</v>
      </c>
      <c r="AD74" s="14">
        <f t="shared" si="27"/>
        <v>0</v>
      </c>
    </row>
    <row r="75" spans="22:30" x14ac:dyDescent="0.3">
      <c r="AC75" s="9" t="str">
        <f t="shared" si="28"/>
        <v xml:space="preserve">Woodke, Jeralyn </v>
      </c>
      <c r="AD75" s="14">
        <f t="shared" si="27"/>
        <v>0</v>
      </c>
    </row>
    <row r="76" spans="22:30" x14ac:dyDescent="0.3">
      <c r="AC76" s="9" t="str">
        <f t="shared" si="28"/>
        <v>Admin, AMC</v>
      </c>
      <c r="AD76" s="14">
        <f t="shared" si="27"/>
        <v>0</v>
      </c>
    </row>
    <row r="77" spans="22:30" x14ac:dyDescent="0.3">
      <c r="AC77" s="9" t="str">
        <f t="shared" si="28"/>
        <v>Admin, AMC</v>
      </c>
      <c r="AD77" s="14">
        <f t="shared" si="27"/>
        <v>0</v>
      </c>
    </row>
    <row r="78" spans="22:30" x14ac:dyDescent="0.3">
      <c r="AC78" s="27" t="s">
        <v>66</v>
      </c>
      <c r="AD78" s="16">
        <f>SUM(AD69:AD77)</f>
        <v>0</v>
      </c>
    </row>
  </sheetData>
  <sortState xmlns:xlrd2="http://schemas.microsoft.com/office/spreadsheetml/2017/richdata2" ref="W54:W60">
    <sortCondition ref="W54"/>
  </sortState>
  <mergeCells count="11">
    <mergeCell ref="W36:X36"/>
    <mergeCell ref="W50:X50"/>
    <mergeCell ref="W63:X63"/>
    <mergeCell ref="AG21:AH21"/>
    <mergeCell ref="AG30:AH30"/>
    <mergeCell ref="W22:X22"/>
    <mergeCell ref="AG7:AH7"/>
    <mergeCell ref="AK7:AP7"/>
    <mergeCell ref="W8:X8"/>
    <mergeCell ref="AG13:AH13"/>
    <mergeCell ref="AM15:AN1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1D3E4-DC4E-4915-BC46-F027C1FE8233}">
  <dimension ref="A1:AP78"/>
  <sheetViews>
    <sheetView topLeftCell="AD1" zoomScale="80" zoomScaleNormal="80" workbookViewId="0">
      <selection activeCell="Z8" sqref="Z8"/>
    </sheetView>
  </sheetViews>
  <sheetFormatPr defaultColWidth="9.109375" defaultRowHeight="14.4" x14ac:dyDescent="0.3"/>
  <cols>
    <col min="1" max="1" width="21.5546875" customWidth="1"/>
    <col min="2" max="2" width="7.5546875" customWidth="1"/>
    <col min="3" max="3" width="3.44140625" customWidth="1"/>
    <col min="4" max="4" width="5.109375" customWidth="1"/>
    <col min="5" max="5" width="2.5546875" customWidth="1"/>
    <col min="6" max="6" width="3.6640625" customWidth="1"/>
    <col min="7" max="7" width="6" customWidth="1"/>
    <col min="8" max="8" width="6.88671875" customWidth="1"/>
    <col min="9" max="9" width="7.33203125" customWidth="1"/>
    <col min="10" max="10" width="4" customWidth="1"/>
    <col min="11" max="11" width="2.109375" customWidth="1"/>
    <col min="12" max="12" width="11" bestFit="1" customWidth="1"/>
    <col min="13" max="13" width="3" customWidth="1"/>
    <col min="14" max="14" width="3.88671875" customWidth="1"/>
    <col min="15" max="15" width="6.33203125" customWidth="1"/>
    <col min="16" max="16" width="5.6640625" bestFit="1" customWidth="1"/>
    <col min="17" max="17" width="9" customWidth="1"/>
    <col min="18" max="18" width="10.5546875" customWidth="1"/>
    <col min="19" max="19" width="10.6640625" customWidth="1"/>
    <col min="20" max="22" width="9.109375" style="1"/>
    <col min="23" max="23" width="19.33203125" style="1" bestFit="1" customWidth="1"/>
    <col min="24" max="24" width="15.5546875" style="1" bestFit="1" customWidth="1"/>
    <col min="25" max="25" width="18.33203125" style="1" bestFit="1" customWidth="1"/>
    <col min="26" max="26" width="21.33203125" style="1" bestFit="1" customWidth="1"/>
    <col min="27" max="28" width="9.109375" style="1"/>
    <col min="29" max="29" width="19.33203125" style="1" bestFit="1" customWidth="1"/>
    <col min="30" max="30" width="16.109375" style="1" customWidth="1"/>
    <col min="31" max="31" width="9.109375" style="3"/>
    <col min="32" max="32" width="9.109375" style="1"/>
    <col min="33" max="33" width="18.88671875" style="1" customWidth="1"/>
    <col min="34" max="34" width="20" style="1" customWidth="1"/>
    <col min="35" max="36" width="9.109375" style="1"/>
    <col min="37" max="37" width="15" style="1" bestFit="1" customWidth="1"/>
    <col min="38" max="38" width="14.44140625" style="1" bestFit="1" customWidth="1"/>
    <col min="39" max="39" width="23.5546875" style="1" bestFit="1" customWidth="1"/>
    <col min="40" max="40" width="30.109375" style="1" bestFit="1" customWidth="1"/>
    <col min="41" max="41" width="13.33203125" style="1" bestFit="1" customWidth="1"/>
    <col min="42" max="42" width="11.44140625" style="1" bestFit="1" customWidth="1"/>
    <col min="43" max="16384" width="9.109375" style="1"/>
  </cols>
  <sheetData>
    <row r="1" spans="1:42" ht="17.399999999999999" x14ac:dyDescent="0.3">
      <c r="A1" s="29" t="s">
        <v>2</v>
      </c>
      <c r="B1" s="30"/>
      <c r="F1" s="31" t="s">
        <v>1</v>
      </c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42" x14ac:dyDescent="0.3">
      <c r="A2" s="29" t="s">
        <v>0</v>
      </c>
      <c r="B2" s="30"/>
    </row>
    <row r="3" spans="1:42" x14ac:dyDescent="0.3">
      <c r="A3" s="29" t="s">
        <v>3</v>
      </c>
      <c r="B3" s="30"/>
    </row>
    <row r="4" spans="1:42" x14ac:dyDescent="0.3">
      <c r="A4" s="29" t="s">
        <v>14</v>
      </c>
      <c r="B4" s="30"/>
      <c r="F4" s="33" t="s">
        <v>106</v>
      </c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</row>
    <row r="5" spans="1:42" x14ac:dyDescent="0.3">
      <c r="A5" s="29" t="s">
        <v>4</v>
      </c>
      <c r="B5" s="30"/>
      <c r="F5" s="33" t="s">
        <v>5</v>
      </c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42" ht="15" thickBot="1" x14ac:dyDescent="0.35">
      <c r="A6" s="29" t="s">
        <v>6</v>
      </c>
      <c r="B6" s="30"/>
    </row>
    <row r="7" spans="1:42" x14ac:dyDescent="0.3">
      <c r="M7" s="35" t="s">
        <v>15</v>
      </c>
      <c r="N7" s="36"/>
      <c r="O7" s="36"/>
      <c r="P7" s="36"/>
      <c r="AC7" s="54" t="s">
        <v>87</v>
      </c>
      <c r="AD7" s="55" t="s">
        <v>7</v>
      </c>
      <c r="AE7" s="53" t="s">
        <v>88</v>
      </c>
      <c r="AG7" s="62" t="s">
        <v>67</v>
      </c>
      <c r="AH7" s="63"/>
      <c r="AK7" s="62" t="s">
        <v>57</v>
      </c>
      <c r="AL7" s="64"/>
      <c r="AM7" s="64"/>
      <c r="AN7" s="64"/>
      <c r="AO7" s="64"/>
      <c r="AP7" s="63"/>
    </row>
    <row r="8" spans="1:42" x14ac:dyDescent="0.3">
      <c r="I8" s="37" t="s">
        <v>7</v>
      </c>
      <c r="M8" s="35" t="s">
        <v>16</v>
      </c>
      <c r="N8" s="36"/>
      <c r="O8" s="36"/>
      <c r="P8" s="36"/>
      <c r="W8" s="62" t="s">
        <v>78</v>
      </c>
      <c r="X8" s="64"/>
      <c r="Y8" s="28" t="s">
        <v>56</v>
      </c>
      <c r="Z8" s="4">
        <f>(SUM(Y11:Y20)/SUM(X11:X20))</f>
        <v>2.5298507462686568</v>
      </c>
      <c r="AC8" s="48" t="str">
        <f>W8</f>
        <v>Chica</v>
      </c>
      <c r="AD8" s="1">
        <f>Z8</f>
        <v>2.5298507462686568</v>
      </c>
      <c r="AE8" s="49">
        <f>SUM(X11:X20)</f>
        <v>402</v>
      </c>
      <c r="AG8" s="8" t="s">
        <v>53</v>
      </c>
      <c r="AH8" s="7" t="str">
        <f>INDEX($AC$8:$AC$12, MATCH(LARGE($AD$8:$AD$12, 1), $AD$8:$AD$12, 0))</f>
        <v>Balloon Boy</v>
      </c>
      <c r="AK8" s="18"/>
      <c r="AL8" s="19" t="s">
        <v>60</v>
      </c>
      <c r="AM8" s="19" t="s">
        <v>62</v>
      </c>
      <c r="AN8" s="19" t="s">
        <v>63</v>
      </c>
      <c r="AO8" s="19" t="s">
        <v>61</v>
      </c>
      <c r="AP8" s="22" t="s">
        <v>64</v>
      </c>
    </row>
    <row r="9" spans="1:42" x14ac:dyDescent="0.3">
      <c r="D9" s="38"/>
      <c r="E9" s="38"/>
      <c r="F9" s="38"/>
      <c r="G9" s="39" t="s">
        <v>9</v>
      </c>
      <c r="I9" s="40">
        <v>2.5499999999999998</v>
      </c>
      <c r="N9" s="41"/>
      <c r="O9" s="46">
        <v>24.48</v>
      </c>
      <c r="W9" s="5"/>
      <c r="X9" s="6"/>
      <c r="Z9" s="7"/>
      <c r="AC9" s="48" t="str">
        <f>W22</f>
        <v>Bonnie</v>
      </c>
      <c r="AD9" s="1">
        <f>Z22</f>
        <v>2.6206896551724137</v>
      </c>
      <c r="AE9" s="49">
        <f>SUM(X25:X34)</f>
        <v>522</v>
      </c>
      <c r="AG9" s="8" t="s">
        <v>54</v>
      </c>
      <c r="AH9" s="7" t="str">
        <f>INDEX($AC$8:$AC$12, MATCH(LARGE($AD$8:$AD$12, 2), $AD$8:$AD$12, 0))</f>
        <v>Bonnie</v>
      </c>
      <c r="AK9" s="13" t="str">
        <f>W8</f>
        <v>Chica</v>
      </c>
      <c r="AL9" s="3">
        <f>'Week 2'!AP9</f>
        <v>11</v>
      </c>
      <c r="AM9" s="3">
        <f>AD28</f>
        <v>0</v>
      </c>
      <c r="AN9" s="3">
        <f>AH31</f>
        <v>0</v>
      </c>
      <c r="AO9" s="3">
        <f>AH14</f>
        <v>0</v>
      </c>
      <c r="AP9" s="14">
        <f>SUM(AL9:AO9)</f>
        <v>11</v>
      </c>
    </row>
    <row r="10" spans="1:42" x14ac:dyDescent="0.3">
      <c r="B10" s="38"/>
      <c r="C10" s="38"/>
      <c r="D10" s="39" t="s">
        <v>11</v>
      </c>
      <c r="W10" s="8"/>
      <c r="X10" s="24" t="s">
        <v>52</v>
      </c>
      <c r="Y10" s="24" t="s">
        <v>13</v>
      </c>
      <c r="Z10" s="25" t="s">
        <v>7</v>
      </c>
      <c r="AC10" s="48" t="str">
        <f>W36</f>
        <v>Freddy</v>
      </c>
      <c r="AD10" s="1">
        <f>Z36</f>
        <v>2.5904436860068261</v>
      </c>
      <c r="AE10" s="49">
        <f>SUM(X39:X48)</f>
        <v>293</v>
      </c>
      <c r="AG10" s="17" t="s">
        <v>55</v>
      </c>
      <c r="AH10" s="12" t="str">
        <f>INDEX($AC$8:$AC$12, MATCH(LARGE($AD$8:$AD$12, 3), $AD$8:$AD$12, 0))</f>
        <v>Freddy</v>
      </c>
      <c r="AK10" s="13" t="str">
        <f>W22</f>
        <v>Bonnie</v>
      </c>
      <c r="AL10" s="3">
        <f>'Week 2'!AP10</f>
        <v>4</v>
      </c>
      <c r="AM10" s="3">
        <f>AD41</f>
        <v>1</v>
      </c>
      <c r="AN10" s="3">
        <f t="shared" ref="AN10:AN12" si="0">AH32</f>
        <v>0</v>
      </c>
      <c r="AO10" s="3">
        <f>AH15</f>
        <v>2</v>
      </c>
      <c r="AP10" s="14">
        <f t="shared" ref="AP10:AP13" si="1">SUM(AL10:AO10)</f>
        <v>7</v>
      </c>
    </row>
    <row r="11" spans="1:42" x14ac:dyDescent="0.3">
      <c r="A11" s="43" t="s">
        <v>12</v>
      </c>
      <c r="B11" s="38"/>
      <c r="C11" s="38"/>
      <c r="D11" s="38"/>
      <c r="G11" s="39" t="s">
        <v>13</v>
      </c>
      <c r="H11" s="38"/>
      <c r="I11" s="38"/>
      <c r="J11" s="38"/>
      <c r="K11" s="39" t="s">
        <v>10</v>
      </c>
      <c r="L11" s="38"/>
      <c r="M11" s="38"/>
      <c r="O11" s="38"/>
      <c r="P11" s="39" t="s">
        <v>7</v>
      </c>
      <c r="R11" s="38"/>
      <c r="S11" s="39" t="s">
        <v>8</v>
      </c>
      <c r="W11" s="9" t="s">
        <v>37</v>
      </c>
      <c r="X11" s="1">
        <f t="shared" ref="X11:X20" si="2">VLOOKUP(W11,$A$12:$S$54, 4,FALSE)</f>
        <v>27</v>
      </c>
      <c r="Y11" s="1">
        <f t="shared" ref="Y11:Y20" si="3">VLOOKUP(W11,$A$12:$S$54, 8,FALSE)</f>
        <v>61</v>
      </c>
      <c r="Z11" s="7">
        <f t="shared" ref="Z11:Z20" si="4">VLOOKUP(W11,$A$12:$S$54, 16,FALSE)</f>
        <v>2.2599999999999998</v>
      </c>
      <c r="AC11" s="48" t="str">
        <f>W50</f>
        <v>Balloon Boy</v>
      </c>
      <c r="AD11" s="1">
        <f>Z50</f>
        <v>2.6348588120740017</v>
      </c>
      <c r="AE11" s="49">
        <f>SUM(X53:X62)</f>
        <v>1027</v>
      </c>
      <c r="AK11" s="13" t="str">
        <f>W36</f>
        <v>Freddy</v>
      </c>
      <c r="AL11" s="3">
        <f>'Week 2'!AP11</f>
        <v>5</v>
      </c>
      <c r="AM11" s="3">
        <f>AD54</f>
        <v>2</v>
      </c>
      <c r="AN11" s="3">
        <f t="shared" si="0"/>
        <v>0</v>
      </c>
      <c r="AO11" s="3">
        <f>AH16</f>
        <v>1</v>
      </c>
      <c r="AP11" s="14">
        <f t="shared" si="1"/>
        <v>8</v>
      </c>
    </row>
    <row r="12" spans="1:42" x14ac:dyDescent="0.3">
      <c r="A12" s="44" t="s">
        <v>17</v>
      </c>
      <c r="D12" s="40">
        <v>0</v>
      </c>
      <c r="E12" s="41"/>
      <c r="F12" s="41"/>
      <c r="G12" s="41"/>
      <c r="H12" s="42">
        <v>0</v>
      </c>
      <c r="K12" s="41"/>
      <c r="L12" s="42">
        <v>0</v>
      </c>
      <c r="O12" s="41"/>
      <c r="P12" s="42">
        <v>0</v>
      </c>
      <c r="S12" s="40">
        <v>0</v>
      </c>
      <c r="W12" s="9" t="s">
        <v>22</v>
      </c>
      <c r="X12" s="1">
        <f t="shared" si="2"/>
        <v>0</v>
      </c>
      <c r="Y12" s="1">
        <f t="shared" si="3"/>
        <v>0</v>
      </c>
      <c r="Z12" s="7">
        <f t="shared" si="4"/>
        <v>0</v>
      </c>
      <c r="AC12" s="48" t="str">
        <f>W64</f>
        <v>Foxy</v>
      </c>
      <c r="AD12" s="1">
        <f>Z64</f>
        <v>2.3412698412698414</v>
      </c>
      <c r="AE12" s="49">
        <f>SUM(X67:X75)</f>
        <v>630</v>
      </c>
      <c r="AK12" s="13" t="str">
        <f>W50</f>
        <v>Balloon Boy</v>
      </c>
      <c r="AL12" s="3">
        <f>'Week 2'!AP12</f>
        <v>7</v>
      </c>
      <c r="AM12" s="3">
        <f>AD66</f>
        <v>2</v>
      </c>
      <c r="AN12" s="3">
        <f t="shared" si="0"/>
        <v>0</v>
      </c>
      <c r="AO12" s="3">
        <f>AH17</f>
        <v>3</v>
      </c>
      <c r="AP12" s="14">
        <f t="shared" si="1"/>
        <v>12</v>
      </c>
    </row>
    <row r="13" spans="1:42" ht="15" thickBot="1" x14ac:dyDescent="0.35">
      <c r="A13" s="44" t="s">
        <v>18</v>
      </c>
      <c r="D13" s="40">
        <v>0</v>
      </c>
      <c r="E13" s="41"/>
      <c r="F13" s="41"/>
      <c r="G13" s="41"/>
      <c r="H13" s="42">
        <v>0</v>
      </c>
      <c r="K13" s="41"/>
      <c r="L13" s="42">
        <v>0</v>
      </c>
      <c r="O13" s="41"/>
      <c r="P13" s="42">
        <v>0</v>
      </c>
      <c r="S13" s="40">
        <v>0</v>
      </c>
      <c r="W13" s="45" t="s">
        <v>75</v>
      </c>
      <c r="X13" s="1">
        <f t="shared" si="2"/>
        <v>147</v>
      </c>
      <c r="Y13" s="1">
        <f t="shared" si="3"/>
        <v>353</v>
      </c>
      <c r="Z13" s="7">
        <f t="shared" si="4"/>
        <v>2.4</v>
      </c>
      <c r="AC13" s="50" t="s">
        <v>59</v>
      </c>
      <c r="AD13" s="51">
        <f>I9</f>
        <v>2.5499999999999998</v>
      </c>
      <c r="AE13" s="52">
        <f>SUM(D12:D56)</f>
        <v>2874</v>
      </c>
      <c r="AG13" s="65" t="s">
        <v>65</v>
      </c>
      <c r="AH13" s="66"/>
      <c r="AK13" s="15" t="str">
        <f>W64</f>
        <v>Foxy</v>
      </c>
      <c r="AL13" s="21">
        <f>'Week 2'!AP13</f>
        <v>2</v>
      </c>
      <c r="AM13" s="21">
        <f>AD78</f>
        <v>0</v>
      </c>
      <c r="AN13" s="21">
        <f>AH35</f>
        <v>0</v>
      </c>
      <c r="AO13" s="21">
        <f>AH18</f>
        <v>0</v>
      </c>
      <c r="AP13" s="16">
        <f t="shared" si="1"/>
        <v>2</v>
      </c>
    </row>
    <row r="14" spans="1:42" x14ac:dyDescent="0.3">
      <c r="A14" s="44" t="s">
        <v>19</v>
      </c>
      <c r="D14" s="40">
        <v>0</v>
      </c>
      <c r="E14" s="41"/>
      <c r="F14" s="41"/>
      <c r="G14" s="41"/>
      <c r="H14" s="42">
        <v>0</v>
      </c>
      <c r="K14" s="41"/>
      <c r="L14" s="42">
        <v>0</v>
      </c>
      <c r="O14" s="41"/>
      <c r="P14" s="42">
        <v>0</v>
      </c>
      <c r="S14" s="40">
        <v>0</v>
      </c>
      <c r="W14" s="9" t="s">
        <v>30</v>
      </c>
      <c r="X14" s="1">
        <f t="shared" si="2"/>
        <v>11</v>
      </c>
      <c r="Y14" s="1">
        <f t="shared" si="3"/>
        <v>21</v>
      </c>
      <c r="Z14" s="7">
        <f t="shared" si="4"/>
        <v>1.91</v>
      </c>
      <c r="AG14" s="13" t="str">
        <f>W8</f>
        <v>Chica</v>
      </c>
      <c r="AH14" s="14">
        <f>IF(AG14=$AH$8,3,IF(AG14=$AH$9,2,IF(AG14=$AH$10,1,0)))</f>
        <v>0</v>
      </c>
    </row>
    <row r="15" spans="1:42" x14ac:dyDescent="0.3">
      <c r="A15" s="44" t="s">
        <v>20</v>
      </c>
      <c r="D15" s="40">
        <v>64</v>
      </c>
      <c r="E15" s="41"/>
      <c r="F15" s="41"/>
      <c r="G15" s="41"/>
      <c r="H15" s="42">
        <v>136</v>
      </c>
      <c r="K15" s="41"/>
      <c r="L15" s="46">
        <v>1230.75</v>
      </c>
      <c r="O15" s="41"/>
      <c r="P15" s="42">
        <v>2.13</v>
      </c>
      <c r="S15" s="47">
        <v>19.23</v>
      </c>
      <c r="W15" s="9" t="s">
        <v>34</v>
      </c>
      <c r="X15" s="1">
        <f t="shared" si="2"/>
        <v>85</v>
      </c>
      <c r="Y15" s="1">
        <f t="shared" si="3"/>
        <v>249</v>
      </c>
      <c r="Z15" s="7">
        <f t="shared" si="4"/>
        <v>2.93</v>
      </c>
      <c r="AG15" s="13" t="str">
        <f>W22</f>
        <v>Bonnie</v>
      </c>
      <c r="AH15" s="14">
        <f t="shared" ref="AH15:AH18" si="5">IF(AG15=$AH$8,3,IF(AG15=$AH$9,2,IF(AG15=$AH$10,1,0)))</f>
        <v>2</v>
      </c>
      <c r="AM15" s="62" t="s">
        <v>68</v>
      </c>
      <c r="AN15" s="63"/>
    </row>
    <row r="16" spans="1:42" x14ac:dyDescent="0.3">
      <c r="A16" s="44" t="s">
        <v>21</v>
      </c>
      <c r="D16" s="40">
        <v>0</v>
      </c>
      <c r="E16" s="41"/>
      <c r="F16" s="41"/>
      <c r="G16" s="41"/>
      <c r="H16" s="42">
        <v>0</v>
      </c>
      <c r="K16" s="41"/>
      <c r="L16" s="42">
        <v>0</v>
      </c>
      <c r="O16" s="41"/>
      <c r="P16" s="42">
        <v>0</v>
      </c>
      <c r="S16" s="40">
        <v>0</v>
      </c>
      <c r="W16" s="9" t="s">
        <v>39</v>
      </c>
      <c r="X16" s="1">
        <f t="shared" si="2"/>
        <v>8</v>
      </c>
      <c r="Y16" s="1">
        <f t="shared" si="3"/>
        <v>21</v>
      </c>
      <c r="Z16" s="7">
        <f t="shared" si="4"/>
        <v>2.63</v>
      </c>
      <c r="AG16" s="13" t="str">
        <f>W36</f>
        <v>Freddy</v>
      </c>
      <c r="AH16" s="14">
        <f t="shared" si="5"/>
        <v>1</v>
      </c>
      <c r="AM16" s="8" t="s">
        <v>69</v>
      </c>
      <c r="AN16" s="7" t="str">
        <f>INDEX($AK$9:$AK$13, MATCH(LARGE($AP$9:$AP$13, 1), $AP$9:$AP$13, 0))</f>
        <v>Balloon Boy</v>
      </c>
    </row>
    <row r="17" spans="1:40" x14ac:dyDescent="0.3">
      <c r="A17" s="44" t="s">
        <v>22</v>
      </c>
      <c r="D17" s="40">
        <v>0</v>
      </c>
      <c r="E17" s="41"/>
      <c r="F17" s="41"/>
      <c r="G17" s="41"/>
      <c r="H17" s="42">
        <v>0</v>
      </c>
      <c r="K17" s="41"/>
      <c r="L17" s="42">
        <v>0</v>
      </c>
      <c r="O17" s="41"/>
      <c r="P17" s="42">
        <v>0</v>
      </c>
      <c r="S17" s="40">
        <v>0</v>
      </c>
      <c r="W17" s="9" t="s">
        <v>43</v>
      </c>
      <c r="X17" s="1">
        <f t="shared" si="2"/>
        <v>0</v>
      </c>
      <c r="Y17" s="1">
        <f t="shared" si="3"/>
        <v>0</v>
      </c>
      <c r="Z17" s="7">
        <f t="shared" si="4"/>
        <v>0</v>
      </c>
      <c r="AC17" s="23" t="str">
        <f>W8</f>
        <v>Chica</v>
      </c>
      <c r="AD17" s="26" t="s">
        <v>58</v>
      </c>
      <c r="AG17" s="13" t="str">
        <f>W50</f>
        <v>Balloon Boy</v>
      </c>
      <c r="AH17" s="14">
        <f t="shared" si="5"/>
        <v>3</v>
      </c>
      <c r="AM17" s="8" t="s">
        <v>70</v>
      </c>
      <c r="AN17" s="7" t="str">
        <f>INDEX($AK$9:$AK$13, MATCH(LARGE($AP$9:$AP$13, 2), $AP$9:$AP$13, 0))</f>
        <v>Chica</v>
      </c>
    </row>
    <row r="18" spans="1:40" x14ac:dyDescent="0.3">
      <c r="A18" s="44" t="s">
        <v>75</v>
      </c>
      <c r="D18" s="40">
        <v>147</v>
      </c>
      <c r="E18" s="41"/>
      <c r="F18" s="41"/>
      <c r="G18" s="41"/>
      <c r="H18" s="42">
        <v>353</v>
      </c>
      <c r="K18" s="41"/>
      <c r="L18" s="46">
        <v>3850.68</v>
      </c>
      <c r="O18" s="41"/>
      <c r="P18" s="42">
        <v>2.4</v>
      </c>
      <c r="S18" s="47">
        <v>26.2</v>
      </c>
      <c r="W18" s="9" t="s">
        <v>104</v>
      </c>
      <c r="X18" s="1">
        <f t="shared" si="2"/>
        <v>124</v>
      </c>
      <c r="Y18" s="1">
        <f t="shared" si="3"/>
        <v>312</v>
      </c>
      <c r="Z18" s="7">
        <f t="shared" si="4"/>
        <v>2.52</v>
      </c>
      <c r="AC18" s="9" t="str">
        <f>W11</f>
        <v>Lopez, Ebony</v>
      </c>
      <c r="AD18" s="14">
        <f t="shared" ref="AD18:AD27" si="6">IF(VLOOKUP(AC18,$W:$Z,2,FALSE)&gt;=100,
    IF(VLOOKUP(AC18,$W:$Z,4,FALSE)&gt;$AD$13,
        IF(VLOOKUP(AC18,$W:$Z,4,FALSE)&gt;=$AD$13+0.5,3,
            IF(VLOOKUP(AC18,$W:$Z,4,FALSE)&gt;=$AD$13+0.25,2,1)
        ),
    0),
0)</f>
        <v>0</v>
      </c>
      <c r="AG18" s="15" t="str">
        <f>W64</f>
        <v>Foxy</v>
      </c>
      <c r="AH18" s="16">
        <f t="shared" si="5"/>
        <v>0</v>
      </c>
      <c r="AM18" s="8" t="s">
        <v>71</v>
      </c>
      <c r="AN18" s="7" t="str">
        <f>INDEX($AK$9:$AK$13, MATCH(LARGE($AP$9:$AP$13, 3), $AP$9:$AP$13, 0))</f>
        <v>Freddy</v>
      </c>
    </row>
    <row r="19" spans="1:40" x14ac:dyDescent="0.3">
      <c r="A19" s="44" t="s">
        <v>24</v>
      </c>
      <c r="D19" s="40">
        <v>0</v>
      </c>
      <c r="E19" s="41"/>
      <c r="F19" s="41"/>
      <c r="G19" s="41"/>
      <c r="H19" s="42">
        <v>0</v>
      </c>
      <c r="K19" s="41"/>
      <c r="L19" s="42">
        <v>0</v>
      </c>
      <c r="O19" s="41"/>
      <c r="P19" s="42">
        <v>0</v>
      </c>
      <c r="S19" s="40">
        <v>0</v>
      </c>
      <c r="W19" s="9" t="s">
        <v>74</v>
      </c>
      <c r="X19" s="1">
        <f t="shared" si="2"/>
        <v>0</v>
      </c>
      <c r="Y19" s="1">
        <f t="shared" si="3"/>
        <v>0</v>
      </c>
      <c r="Z19" s="7">
        <f t="shared" si="4"/>
        <v>0</v>
      </c>
      <c r="AC19" s="9" t="str">
        <f>W12</f>
        <v>Allen, Wren</v>
      </c>
      <c r="AD19" s="14">
        <f t="shared" si="6"/>
        <v>0</v>
      </c>
      <c r="AM19" s="8" t="s">
        <v>72</v>
      </c>
      <c r="AN19" s="7" t="str">
        <f>INDEX($AK$9:$AK$13, MATCH(LARGE($AP$9:$AP$13, 4), $AP$9:$AP$13, 0))</f>
        <v>Bonnie</v>
      </c>
    </row>
    <row r="20" spans="1:40" x14ac:dyDescent="0.3">
      <c r="A20" s="44" t="s">
        <v>25</v>
      </c>
      <c r="D20" s="40">
        <v>93</v>
      </c>
      <c r="E20" s="41"/>
      <c r="F20" s="41"/>
      <c r="G20" s="41"/>
      <c r="H20" s="42">
        <v>222</v>
      </c>
      <c r="K20" s="41"/>
      <c r="L20" s="46">
        <v>2258.3000000000002</v>
      </c>
      <c r="O20" s="41"/>
      <c r="P20" s="42">
        <v>2.39</v>
      </c>
      <c r="S20" s="47">
        <v>24.28</v>
      </c>
      <c r="V20" s="1" t="s">
        <v>101</v>
      </c>
      <c r="W20" s="10" t="s">
        <v>17</v>
      </c>
      <c r="X20" s="11">
        <f t="shared" si="2"/>
        <v>0</v>
      </c>
      <c r="Y20" s="11">
        <f t="shared" si="3"/>
        <v>0</v>
      </c>
      <c r="Z20" s="12">
        <f t="shared" si="4"/>
        <v>0</v>
      </c>
      <c r="AC20" s="9" t="str">
        <f t="shared" ref="AC20:AC25" si="7">W13</f>
        <v>Araya, Kidane</v>
      </c>
      <c r="AD20" s="14">
        <f t="shared" si="6"/>
        <v>0</v>
      </c>
      <c r="AM20" s="17" t="s">
        <v>73</v>
      </c>
      <c r="AN20" s="12" t="str">
        <f>INDEX($AK$9:$AK$13, MATCH(LARGE($AP$9:$AP$13, 5), $AP$9:$AP$13, 0))</f>
        <v>Foxy</v>
      </c>
    </row>
    <row r="21" spans="1:40" x14ac:dyDescent="0.3">
      <c r="A21" s="44" t="s">
        <v>26</v>
      </c>
      <c r="D21" s="40">
        <v>0</v>
      </c>
      <c r="E21" s="41"/>
      <c r="F21" s="41"/>
      <c r="G21" s="41"/>
      <c r="H21" s="42">
        <v>0</v>
      </c>
      <c r="K21" s="41"/>
      <c r="L21" s="42">
        <v>0</v>
      </c>
      <c r="O21" s="41"/>
      <c r="P21" s="42">
        <v>0</v>
      </c>
      <c r="S21" s="40">
        <v>0</v>
      </c>
      <c r="AC21" s="9" t="str">
        <f t="shared" si="7"/>
        <v>Gemmer, Jake</v>
      </c>
      <c r="AD21" s="14">
        <f t="shared" si="6"/>
        <v>0</v>
      </c>
      <c r="AG21" s="62" t="s">
        <v>91</v>
      </c>
      <c r="AH21" s="63"/>
    </row>
    <row r="22" spans="1:40" x14ac:dyDescent="0.3">
      <c r="A22" s="44" t="s">
        <v>27</v>
      </c>
      <c r="D22" s="40">
        <v>71</v>
      </c>
      <c r="E22" s="41"/>
      <c r="F22" s="41"/>
      <c r="G22" s="41"/>
      <c r="H22" s="42">
        <v>223</v>
      </c>
      <c r="K22" s="41"/>
      <c r="L22" s="46">
        <v>1812.81</v>
      </c>
      <c r="O22" s="41"/>
      <c r="P22" s="42">
        <v>3.14</v>
      </c>
      <c r="S22" s="47">
        <v>25.53</v>
      </c>
      <c r="W22" s="62" t="s">
        <v>79</v>
      </c>
      <c r="X22" s="64"/>
      <c r="Y22" s="28" t="s">
        <v>7</v>
      </c>
      <c r="Z22" s="4">
        <f>(SUM(Y25:Y34)/SUM(X25:X34))</f>
        <v>2.6206896551724137</v>
      </c>
      <c r="AC22" s="9" t="str">
        <f t="shared" si="7"/>
        <v>Jackson, Parker</v>
      </c>
      <c r="AD22" s="14">
        <f t="shared" si="6"/>
        <v>0</v>
      </c>
      <c r="AG22" s="5" t="s">
        <v>87</v>
      </c>
      <c r="AH22" s="58" t="s">
        <v>7</v>
      </c>
    </row>
    <row r="23" spans="1:40" x14ac:dyDescent="0.3">
      <c r="A23" s="44" t="s">
        <v>28</v>
      </c>
      <c r="D23" s="40">
        <v>41</v>
      </c>
      <c r="E23" s="41"/>
      <c r="F23" s="41"/>
      <c r="G23" s="41"/>
      <c r="H23" s="42">
        <v>101</v>
      </c>
      <c r="K23" s="41"/>
      <c r="L23" s="46">
        <v>896.15</v>
      </c>
      <c r="O23" s="41"/>
      <c r="P23" s="42">
        <v>2.46</v>
      </c>
      <c r="S23" s="47">
        <v>21.86</v>
      </c>
      <c r="W23" s="8"/>
      <c r="Z23" s="7"/>
      <c r="AC23" s="9" t="str">
        <f t="shared" si="7"/>
        <v>Mccarty, Katelynn</v>
      </c>
      <c r="AD23" s="14">
        <f t="shared" si="6"/>
        <v>0</v>
      </c>
      <c r="AG23" s="56" t="str">
        <f>W8</f>
        <v>Chica</v>
      </c>
      <c r="AH23" s="7">
        <f>'Week 2'!AD8</f>
        <v>2.7761467889908258</v>
      </c>
    </row>
    <row r="24" spans="1:40" x14ac:dyDescent="0.3">
      <c r="A24" s="44" t="s">
        <v>103</v>
      </c>
      <c r="D24" s="40">
        <v>0</v>
      </c>
      <c r="E24" s="41"/>
      <c r="F24" s="41"/>
      <c r="G24" s="41"/>
      <c r="H24" s="42">
        <v>0</v>
      </c>
      <c r="K24" s="41"/>
      <c r="L24" s="42">
        <v>0</v>
      </c>
      <c r="O24" s="41"/>
      <c r="P24" s="42">
        <v>0</v>
      </c>
      <c r="S24" s="40">
        <v>0</v>
      </c>
      <c r="W24" s="8"/>
      <c r="X24" s="24" t="s">
        <v>52</v>
      </c>
      <c r="Y24" s="24" t="s">
        <v>13</v>
      </c>
      <c r="Z24" s="25" t="s">
        <v>7</v>
      </c>
      <c r="AC24" s="9" t="str">
        <f t="shared" si="7"/>
        <v>Montero, Rowan</v>
      </c>
      <c r="AD24" s="14">
        <f t="shared" si="6"/>
        <v>0</v>
      </c>
      <c r="AG24" s="56" t="str">
        <f>W22</f>
        <v>Bonnie</v>
      </c>
      <c r="AH24" s="7">
        <f>'Week 2'!AD9</f>
        <v>2.7297297297297298</v>
      </c>
    </row>
    <row r="25" spans="1:40" x14ac:dyDescent="0.3">
      <c r="A25" s="44" t="s">
        <v>29</v>
      </c>
      <c r="D25" s="40">
        <v>0</v>
      </c>
      <c r="E25" s="41"/>
      <c r="F25" s="41"/>
      <c r="G25" s="41"/>
      <c r="H25" s="42">
        <v>0</v>
      </c>
      <c r="K25" s="41"/>
      <c r="L25" s="42">
        <v>0</v>
      </c>
      <c r="O25" s="41"/>
      <c r="P25" s="42">
        <v>0</v>
      </c>
      <c r="S25" s="40">
        <v>0</v>
      </c>
      <c r="W25" s="9" t="s">
        <v>51</v>
      </c>
      <c r="X25" s="1">
        <f>VLOOKUP(W25,$A$12:$S$56, 4,FALSE)</f>
        <v>48</v>
      </c>
      <c r="Y25" s="1">
        <f>VLOOKUP(W25,$A$12:$S$56, 8,FALSE)</f>
        <v>123</v>
      </c>
      <c r="Z25" s="7">
        <f>VLOOKUP(W25,$A$12:$S$56, 16,FALSE)</f>
        <v>2.56</v>
      </c>
      <c r="AC25" s="9" t="str">
        <f t="shared" si="7"/>
        <v>Pepper, Courtney</v>
      </c>
      <c r="AD25" s="14">
        <f t="shared" si="6"/>
        <v>0</v>
      </c>
      <c r="AG25" s="56" t="str">
        <f>W36</f>
        <v>Freddy</v>
      </c>
      <c r="AH25" s="7">
        <f>'Week 2'!AD10</f>
        <v>2.6085918854415273</v>
      </c>
    </row>
    <row r="26" spans="1:40" x14ac:dyDescent="0.3">
      <c r="A26" s="44" t="s">
        <v>30</v>
      </c>
      <c r="D26" s="40">
        <v>11</v>
      </c>
      <c r="E26" s="41"/>
      <c r="F26" s="41"/>
      <c r="G26" s="41"/>
      <c r="H26" s="42">
        <v>21</v>
      </c>
      <c r="K26" s="41"/>
      <c r="L26" s="46">
        <v>196.49</v>
      </c>
      <c r="O26" s="41"/>
      <c r="P26" s="42">
        <v>1.91</v>
      </c>
      <c r="S26" s="47">
        <v>17.86</v>
      </c>
      <c r="W26" s="9" t="s">
        <v>27</v>
      </c>
      <c r="X26" s="1">
        <f t="shared" ref="X26:X33" si="8">VLOOKUP(W26,$A$12:$S$56, 4,FALSE)</f>
        <v>71</v>
      </c>
      <c r="Y26" s="1">
        <f t="shared" ref="Y26:Y33" si="9">VLOOKUP(W26,$A$12:$S$56, 8,FALSE)</f>
        <v>223</v>
      </c>
      <c r="Z26" s="7">
        <f t="shared" ref="Z26:Z34" si="10">VLOOKUP(W26,$A$12:$S$56, 16,FALSE)</f>
        <v>3.14</v>
      </c>
      <c r="AC26" s="9" t="str">
        <f>W19</f>
        <v>Taylor, Ronni</v>
      </c>
      <c r="AD26" s="14">
        <f t="shared" si="6"/>
        <v>0</v>
      </c>
      <c r="AG26" s="56" t="str">
        <f>W50</f>
        <v>Balloon Boy</v>
      </c>
      <c r="AH26" s="7">
        <f>'Week 2'!AD11</f>
        <v>2.7127937336814623</v>
      </c>
    </row>
    <row r="27" spans="1:40" x14ac:dyDescent="0.3">
      <c r="A27" s="44" t="s">
        <v>32</v>
      </c>
      <c r="D27" s="40">
        <v>49</v>
      </c>
      <c r="E27" s="41"/>
      <c r="F27" s="41"/>
      <c r="G27" s="41"/>
      <c r="H27" s="42">
        <v>111</v>
      </c>
      <c r="K27" s="41"/>
      <c r="L27" s="46">
        <v>970.35</v>
      </c>
      <c r="O27" s="41"/>
      <c r="P27" s="42">
        <v>2.27</v>
      </c>
      <c r="S27" s="47">
        <v>19.8</v>
      </c>
      <c r="W27" s="9" t="s">
        <v>28</v>
      </c>
      <c r="X27" s="1">
        <f t="shared" si="8"/>
        <v>41</v>
      </c>
      <c r="Y27" s="1">
        <f t="shared" si="9"/>
        <v>101</v>
      </c>
      <c r="Z27" s="7">
        <f t="shared" si="10"/>
        <v>2.46</v>
      </c>
      <c r="AC27" s="9" t="str">
        <f>W20</f>
        <v>Admin, AMC</v>
      </c>
      <c r="AD27" s="14">
        <f t="shared" si="6"/>
        <v>0</v>
      </c>
      <c r="AG27" s="57" t="str">
        <f>W64</f>
        <v>Foxy</v>
      </c>
      <c r="AH27" s="12">
        <f>'Week 2'!AD12</f>
        <v>2.6019999999999999</v>
      </c>
    </row>
    <row r="28" spans="1:40" x14ac:dyDescent="0.3">
      <c r="A28" s="44" t="s">
        <v>33</v>
      </c>
      <c r="D28" s="40">
        <v>131</v>
      </c>
      <c r="E28" s="41"/>
      <c r="F28" s="41"/>
      <c r="G28" s="41"/>
      <c r="H28" s="42">
        <v>393</v>
      </c>
      <c r="K28" s="41"/>
      <c r="L28" s="46">
        <v>3708.73</v>
      </c>
      <c r="O28" s="41"/>
      <c r="P28" s="42">
        <v>3</v>
      </c>
      <c r="S28" s="47">
        <v>28.31</v>
      </c>
      <c r="W28" s="9" t="s">
        <v>29</v>
      </c>
      <c r="X28" s="1">
        <f t="shared" si="8"/>
        <v>0</v>
      </c>
      <c r="Y28" s="1">
        <f t="shared" si="9"/>
        <v>0</v>
      </c>
      <c r="Z28" s="7">
        <f t="shared" si="10"/>
        <v>0</v>
      </c>
      <c r="AC28" s="27" t="s">
        <v>66</v>
      </c>
      <c r="AD28" s="16">
        <f>SUM(AD18:AD27)</f>
        <v>0</v>
      </c>
    </row>
    <row r="29" spans="1:40" x14ac:dyDescent="0.3">
      <c r="A29" s="44" t="s">
        <v>86</v>
      </c>
      <c r="D29" s="40">
        <v>409</v>
      </c>
      <c r="E29" s="41"/>
      <c r="F29" s="41"/>
      <c r="G29" s="41"/>
      <c r="H29" s="42">
        <v>1085</v>
      </c>
      <c r="K29" s="59"/>
      <c r="L29" s="60">
        <v>10873</v>
      </c>
      <c r="O29" s="41"/>
      <c r="P29" s="42">
        <v>2.65</v>
      </c>
      <c r="S29" s="47">
        <v>26.59</v>
      </c>
      <c r="W29" s="9" t="s">
        <v>32</v>
      </c>
      <c r="X29" s="1">
        <f t="shared" si="8"/>
        <v>49</v>
      </c>
      <c r="Y29" s="1">
        <f t="shared" si="9"/>
        <v>111</v>
      </c>
      <c r="Z29" s="7">
        <f t="shared" si="10"/>
        <v>2.27</v>
      </c>
      <c r="AD29" s="3"/>
    </row>
    <row r="30" spans="1:40" x14ac:dyDescent="0.3">
      <c r="A30" s="44" t="s">
        <v>34</v>
      </c>
      <c r="D30" s="40">
        <v>85</v>
      </c>
      <c r="E30" s="41"/>
      <c r="F30" s="41"/>
      <c r="G30" s="41"/>
      <c r="H30" s="42">
        <v>249</v>
      </c>
      <c r="K30" s="41"/>
      <c r="L30" s="46">
        <v>2295.87</v>
      </c>
      <c r="O30" s="41"/>
      <c r="P30" s="42">
        <v>2.93</v>
      </c>
      <c r="S30" s="47">
        <v>27.01</v>
      </c>
      <c r="W30" s="9" t="s">
        <v>41</v>
      </c>
      <c r="X30" s="1">
        <f t="shared" si="8"/>
        <v>65</v>
      </c>
      <c r="Y30" s="1">
        <f t="shared" si="9"/>
        <v>172</v>
      </c>
      <c r="Z30" s="7">
        <f t="shared" si="10"/>
        <v>2.65</v>
      </c>
      <c r="AC30" s="23" t="str">
        <f>W22</f>
        <v>Bonnie</v>
      </c>
      <c r="AD30" s="26" t="s">
        <v>58</v>
      </c>
      <c r="AG30" s="67" t="s">
        <v>92</v>
      </c>
      <c r="AH30" s="68"/>
    </row>
    <row r="31" spans="1:40" x14ac:dyDescent="0.3">
      <c r="A31" s="44" t="s">
        <v>35</v>
      </c>
      <c r="D31" s="40">
        <v>23</v>
      </c>
      <c r="E31" s="41"/>
      <c r="F31" s="41"/>
      <c r="G31" s="41"/>
      <c r="H31" s="42">
        <v>153</v>
      </c>
      <c r="K31" s="41"/>
      <c r="L31" s="46">
        <v>856.36</v>
      </c>
      <c r="O31" s="41"/>
      <c r="P31" s="42">
        <v>6.65</v>
      </c>
      <c r="S31" s="47">
        <v>37.229999999999997</v>
      </c>
      <c r="W31" s="9" t="s">
        <v>46</v>
      </c>
      <c r="X31" s="1">
        <f t="shared" si="8"/>
        <v>126</v>
      </c>
      <c r="Y31" s="1">
        <f t="shared" si="9"/>
        <v>337</v>
      </c>
      <c r="Z31" s="7">
        <f t="shared" si="10"/>
        <v>2.67</v>
      </c>
      <c r="AC31" s="9" t="str">
        <f>W25</f>
        <v>Zeller, Daniel</v>
      </c>
      <c r="AD31" s="14">
        <f t="shared" ref="AD31:AD40" si="11">IF(VLOOKUP(AC31,$W:$Z,2,FALSE)&gt;=100,
    IF(VLOOKUP(AC31,$W:$Z,4,FALSE)&gt;$AD$13,
        IF(VLOOKUP(AC31,$W:$Z,4,FALSE)&gt;=$AD$13+0.5,3,
            IF(VLOOKUP(AC31,$W:$Z,4,FALSE)&gt;=$AD$13+0.25,2,1)
        ),
    0),
0)</f>
        <v>0</v>
      </c>
      <c r="AG31" s="56" t="str">
        <f>W8</f>
        <v>Chica</v>
      </c>
      <c r="AH31" s="14">
        <f>IF(AD8&gt;AH23,1,0)</f>
        <v>0</v>
      </c>
    </row>
    <row r="32" spans="1:40" x14ac:dyDescent="0.3">
      <c r="A32" s="44" t="s">
        <v>36</v>
      </c>
      <c r="D32" s="40">
        <v>1</v>
      </c>
      <c r="E32" s="41"/>
      <c r="F32" s="41"/>
      <c r="G32" s="41"/>
      <c r="H32" s="42">
        <v>2</v>
      </c>
      <c r="K32" s="41"/>
      <c r="L32" s="42">
        <v>0</v>
      </c>
      <c r="O32" s="41"/>
      <c r="P32" s="42">
        <v>2</v>
      </c>
      <c r="S32" s="47">
        <v>0</v>
      </c>
      <c r="W32" s="9" t="s">
        <v>50</v>
      </c>
      <c r="X32" s="1">
        <f t="shared" si="8"/>
        <v>122</v>
      </c>
      <c r="Y32" s="1">
        <f t="shared" si="9"/>
        <v>301</v>
      </c>
      <c r="Z32" s="7">
        <f t="shared" si="10"/>
        <v>2.4700000000000002</v>
      </c>
      <c r="AC32" s="9" t="str">
        <f>W26</f>
        <v>Dick, Emilie</v>
      </c>
      <c r="AD32" s="14">
        <f t="shared" si="11"/>
        <v>0</v>
      </c>
      <c r="AG32" s="56" t="str">
        <f>W22</f>
        <v>Bonnie</v>
      </c>
      <c r="AH32" s="14">
        <f>IF(AD9&gt;AH24, 1,0)</f>
        <v>0</v>
      </c>
    </row>
    <row r="33" spans="1:34" x14ac:dyDescent="0.3">
      <c r="A33" s="44" t="s">
        <v>82</v>
      </c>
      <c r="D33" s="40">
        <v>50</v>
      </c>
      <c r="E33" s="41"/>
      <c r="F33" s="41"/>
      <c r="G33" s="41"/>
      <c r="H33" s="42">
        <v>99</v>
      </c>
      <c r="K33" s="41"/>
      <c r="L33" s="46">
        <v>948.74</v>
      </c>
      <c r="O33" s="41"/>
      <c r="P33" s="42">
        <v>1.98</v>
      </c>
      <c r="S33" s="47">
        <v>18.97</v>
      </c>
      <c r="W33" s="9" t="s">
        <v>17</v>
      </c>
      <c r="X33" s="1">
        <f t="shared" si="8"/>
        <v>0</v>
      </c>
      <c r="Y33" s="1">
        <f t="shared" si="9"/>
        <v>0</v>
      </c>
      <c r="Z33" s="7">
        <f t="shared" si="10"/>
        <v>0</v>
      </c>
      <c r="AC33" s="9" t="str">
        <f t="shared" ref="AC33:AC40" si="12">W27</f>
        <v>Farmer, Kasey</v>
      </c>
      <c r="AD33" s="14">
        <f t="shared" si="11"/>
        <v>0</v>
      </c>
      <c r="AG33" s="56" t="str">
        <f>W36</f>
        <v>Freddy</v>
      </c>
      <c r="AH33" s="14">
        <f>IF(AD10&gt;AH25, 1,0)</f>
        <v>0</v>
      </c>
    </row>
    <row r="34" spans="1:34" x14ac:dyDescent="0.3">
      <c r="A34" s="44" t="s">
        <v>107</v>
      </c>
      <c r="D34" s="40">
        <v>4</v>
      </c>
      <c r="E34" s="41"/>
      <c r="F34" s="41"/>
      <c r="G34" s="41"/>
      <c r="H34" s="42">
        <v>6</v>
      </c>
      <c r="K34" s="41"/>
      <c r="L34" s="46">
        <v>53.16</v>
      </c>
      <c r="O34" s="41"/>
      <c r="P34" s="42">
        <v>1.5</v>
      </c>
      <c r="S34" s="47">
        <v>13.29</v>
      </c>
      <c r="V34" s="1" t="s">
        <v>100</v>
      </c>
      <c r="W34" s="10" t="s">
        <v>17</v>
      </c>
      <c r="X34" s="11">
        <f>VLOOKUP(W34,$A$12:$S$56, 4,FALSE)</f>
        <v>0</v>
      </c>
      <c r="Y34" s="11">
        <f>VLOOKUP(W34,$A$12:$S$56, 8,FALSE)</f>
        <v>0</v>
      </c>
      <c r="Z34" s="12">
        <f t="shared" si="10"/>
        <v>0</v>
      </c>
      <c r="AC34" s="9" t="str">
        <f t="shared" si="12"/>
        <v>Gashu, Amanuel</v>
      </c>
      <c r="AD34" s="14">
        <f t="shared" si="11"/>
        <v>0</v>
      </c>
      <c r="AG34" s="56" t="str">
        <f>W50</f>
        <v>Balloon Boy</v>
      </c>
      <c r="AH34" s="14">
        <f t="shared" ref="AH34:AH35" si="13">IF(AD11&gt;AH26, 1,0)</f>
        <v>0</v>
      </c>
    </row>
    <row r="35" spans="1:34" x14ac:dyDescent="0.3">
      <c r="A35" s="44" t="s">
        <v>90</v>
      </c>
      <c r="D35" s="40">
        <v>0</v>
      </c>
      <c r="E35" s="41"/>
      <c r="F35" s="41"/>
      <c r="G35" s="41"/>
      <c r="H35" s="42">
        <v>0</v>
      </c>
      <c r="K35" s="41"/>
      <c r="L35" s="42">
        <v>0</v>
      </c>
      <c r="O35" s="41"/>
      <c r="P35" s="42">
        <v>0</v>
      </c>
      <c r="S35" s="40">
        <v>0</v>
      </c>
      <c r="AC35" s="9" t="str">
        <f t="shared" si="12"/>
        <v>Hatch, Aidan</v>
      </c>
      <c r="AD35" s="14">
        <f t="shared" si="11"/>
        <v>0</v>
      </c>
      <c r="AG35" s="57" t="str">
        <f>W64</f>
        <v>Foxy</v>
      </c>
      <c r="AH35" s="16">
        <f t="shared" si="13"/>
        <v>0</v>
      </c>
    </row>
    <row r="36" spans="1:34" x14ac:dyDescent="0.3">
      <c r="A36" s="44" t="s">
        <v>37</v>
      </c>
      <c r="D36" s="40">
        <v>27</v>
      </c>
      <c r="E36" s="41"/>
      <c r="F36" s="41"/>
      <c r="G36" s="41"/>
      <c r="H36" s="42">
        <v>61</v>
      </c>
      <c r="K36" s="41"/>
      <c r="L36" s="46">
        <v>580.42999999999995</v>
      </c>
      <c r="O36" s="41"/>
      <c r="P36" s="42">
        <v>2.2599999999999998</v>
      </c>
      <c r="S36" s="47">
        <v>21.5</v>
      </c>
      <c r="W36" s="62" t="s">
        <v>80</v>
      </c>
      <c r="X36" s="64"/>
      <c r="Y36" s="28" t="s">
        <v>7</v>
      </c>
      <c r="Z36" s="4">
        <f>(SUM(Y39:Y48)/SUM(X39:X48))</f>
        <v>2.5904436860068261</v>
      </c>
      <c r="AC36" s="9" t="str">
        <f t="shared" si="12"/>
        <v>Miller, Taytem</v>
      </c>
      <c r="AD36" s="14">
        <f t="shared" si="11"/>
        <v>0</v>
      </c>
    </row>
    <row r="37" spans="1:34" x14ac:dyDescent="0.3">
      <c r="A37" s="44" t="s">
        <v>38</v>
      </c>
      <c r="D37" s="40">
        <v>41</v>
      </c>
      <c r="E37" s="41"/>
      <c r="F37" s="41"/>
      <c r="G37" s="41"/>
      <c r="H37" s="42">
        <v>109</v>
      </c>
      <c r="K37" s="41"/>
      <c r="L37" s="46">
        <v>1008.73</v>
      </c>
      <c r="O37" s="41"/>
      <c r="P37" s="42">
        <v>2.66</v>
      </c>
      <c r="S37" s="47">
        <v>24.6</v>
      </c>
      <c r="W37" s="8"/>
      <c r="Z37" s="7"/>
      <c r="AC37" s="9" t="str">
        <f t="shared" si="12"/>
        <v>Ryder, Erin</v>
      </c>
      <c r="AD37" s="14">
        <f t="shared" si="11"/>
        <v>1</v>
      </c>
    </row>
    <row r="38" spans="1:34" x14ac:dyDescent="0.3">
      <c r="A38" s="44" t="s">
        <v>39</v>
      </c>
      <c r="D38" s="40">
        <v>8</v>
      </c>
      <c r="E38" s="41"/>
      <c r="F38" s="41"/>
      <c r="G38" s="41"/>
      <c r="H38" s="42">
        <v>21</v>
      </c>
      <c r="K38" s="41"/>
      <c r="L38" s="46">
        <v>192.5</v>
      </c>
      <c r="O38" s="41"/>
      <c r="P38" s="42">
        <v>2.63</v>
      </c>
      <c r="S38" s="47">
        <v>24.06</v>
      </c>
      <c r="U38" s="2"/>
      <c r="W38" s="8"/>
      <c r="X38" s="24" t="s">
        <v>52</v>
      </c>
      <c r="Y38" s="24" t="s">
        <v>13</v>
      </c>
      <c r="Z38" s="25" t="s">
        <v>7</v>
      </c>
      <c r="AC38" s="9" t="str">
        <f t="shared" si="12"/>
        <v>Yandle, Chuck</v>
      </c>
      <c r="AD38" s="14">
        <f t="shared" si="11"/>
        <v>0</v>
      </c>
    </row>
    <row r="39" spans="1:34" x14ac:dyDescent="0.3">
      <c r="A39" s="44" t="s">
        <v>40</v>
      </c>
      <c r="D39" s="40">
        <v>93</v>
      </c>
      <c r="E39" s="41"/>
      <c r="F39" s="41"/>
      <c r="G39" s="41"/>
      <c r="H39" s="42">
        <v>221</v>
      </c>
      <c r="K39" s="41"/>
      <c r="L39" s="46">
        <v>2104.66</v>
      </c>
      <c r="O39" s="41"/>
      <c r="P39" s="42">
        <v>2.38</v>
      </c>
      <c r="S39" s="47">
        <v>22.63</v>
      </c>
      <c r="W39" s="9" t="s">
        <v>25</v>
      </c>
      <c r="X39" s="1">
        <f>VLOOKUP(W39,$A$12:$S$56, 4,FALSE)</f>
        <v>93</v>
      </c>
      <c r="Y39" s="1">
        <f>VLOOKUP(W39,$A$12:$S$56, 8,FALSE)</f>
        <v>222</v>
      </c>
      <c r="Z39" s="7">
        <f>VLOOKUP(W39,$A$12:$S$56, 16,FALSE)</f>
        <v>2.39</v>
      </c>
      <c r="AC39" s="9" t="str">
        <f t="shared" si="12"/>
        <v>Admin, AMC</v>
      </c>
      <c r="AD39" s="14">
        <f t="shared" si="11"/>
        <v>0</v>
      </c>
    </row>
    <row r="40" spans="1:34" x14ac:dyDescent="0.3">
      <c r="A40" s="44" t="s">
        <v>41</v>
      </c>
      <c r="D40" s="40">
        <v>65</v>
      </c>
      <c r="E40" s="41"/>
      <c r="F40" s="41"/>
      <c r="G40" s="41"/>
      <c r="H40" s="42">
        <v>172</v>
      </c>
      <c r="K40" s="41"/>
      <c r="L40" s="46">
        <v>1586.94</v>
      </c>
      <c r="O40" s="41"/>
      <c r="P40" s="42">
        <v>2.65</v>
      </c>
      <c r="S40" s="47">
        <v>24.41</v>
      </c>
      <c r="W40" s="45" t="s">
        <v>20</v>
      </c>
      <c r="X40" s="1">
        <f t="shared" ref="X40:X48" si="14">VLOOKUP(W40,$A$12:$S$56, 4,FALSE)</f>
        <v>64</v>
      </c>
      <c r="Y40" s="1">
        <f t="shared" ref="Y40:Y48" si="15">VLOOKUP(W40,$A$12:$S$56, 8,FALSE)</f>
        <v>136</v>
      </c>
      <c r="Z40" s="7">
        <f t="shared" ref="Z40:Z48" si="16">VLOOKUP(W40,$A$12:$S$56, 16,FALSE)</f>
        <v>2.13</v>
      </c>
      <c r="AC40" s="9" t="str">
        <f t="shared" si="12"/>
        <v>Admin, AMC</v>
      </c>
      <c r="AD40" s="14">
        <f t="shared" si="11"/>
        <v>0</v>
      </c>
    </row>
    <row r="41" spans="1:34" x14ac:dyDescent="0.3">
      <c r="A41" s="44" t="s">
        <v>42</v>
      </c>
      <c r="D41" s="40">
        <v>161</v>
      </c>
      <c r="E41" s="41"/>
      <c r="F41" s="41"/>
      <c r="G41" s="41"/>
      <c r="H41" s="42">
        <v>406</v>
      </c>
      <c r="K41" s="41"/>
      <c r="L41" s="46">
        <v>3986.35</v>
      </c>
      <c r="O41" s="41"/>
      <c r="P41" s="42">
        <v>2.52</v>
      </c>
      <c r="S41" s="47">
        <v>24.76</v>
      </c>
      <c r="W41" s="9" t="s">
        <v>24</v>
      </c>
      <c r="X41" s="1">
        <f t="shared" si="14"/>
        <v>0</v>
      </c>
      <c r="Y41" s="1">
        <f t="shared" si="15"/>
        <v>0</v>
      </c>
      <c r="Z41" s="7">
        <f t="shared" si="16"/>
        <v>0</v>
      </c>
      <c r="AC41" s="27" t="s">
        <v>66</v>
      </c>
      <c r="AD41" s="16">
        <f>SUM(AD31:AD40)</f>
        <v>1</v>
      </c>
    </row>
    <row r="42" spans="1:34" x14ac:dyDescent="0.3">
      <c r="A42" s="44" t="s">
        <v>43</v>
      </c>
      <c r="D42" s="40">
        <v>0</v>
      </c>
      <c r="E42" s="41"/>
      <c r="F42" s="41"/>
      <c r="G42" s="41"/>
      <c r="H42" s="42">
        <v>0</v>
      </c>
      <c r="K42" s="41"/>
      <c r="L42" s="42">
        <v>0</v>
      </c>
      <c r="O42" s="41"/>
      <c r="P42" s="42">
        <v>0</v>
      </c>
      <c r="S42" s="40">
        <v>0</v>
      </c>
      <c r="W42" s="9" t="s">
        <v>33</v>
      </c>
      <c r="X42" s="1">
        <f t="shared" si="14"/>
        <v>131</v>
      </c>
      <c r="Y42" s="1">
        <f t="shared" si="15"/>
        <v>393</v>
      </c>
      <c r="Z42" s="7">
        <f t="shared" si="16"/>
        <v>3</v>
      </c>
      <c r="AD42" s="3"/>
    </row>
    <row r="43" spans="1:34" x14ac:dyDescent="0.3">
      <c r="A43" s="44" t="s">
        <v>44</v>
      </c>
      <c r="D43" s="40">
        <v>0</v>
      </c>
      <c r="E43" s="41"/>
      <c r="F43" s="41"/>
      <c r="G43" s="41"/>
      <c r="H43" s="42">
        <v>0</v>
      </c>
      <c r="K43" s="41"/>
      <c r="L43" s="42">
        <v>0</v>
      </c>
      <c r="O43" s="41"/>
      <c r="P43" s="42">
        <v>0</v>
      </c>
      <c r="S43" s="40">
        <v>0</v>
      </c>
      <c r="W43" s="45" t="s">
        <v>36</v>
      </c>
      <c r="X43" s="1">
        <f t="shared" si="14"/>
        <v>1</v>
      </c>
      <c r="Y43" s="1">
        <f t="shared" si="15"/>
        <v>2</v>
      </c>
      <c r="Z43" s="7">
        <f t="shared" si="16"/>
        <v>2</v>
      </c>
      <c r="AC43" s="23" t="str">
        <f>W36</f>
        <v>Freddy</v>
      </c>
      <c r="AD43" s="26" t="s">
        <v>58</v>
      </c>
    </row>
    <row r="44" spans="1:34" x14ac:dyDescent="0.3">
      <c r="A44" s="44" t="s">
        <v>104</v>
      </c>
      <c r="D44" s="40">
        <v>124</v>
      </c>
      <c r="E44" s="41"/>
      <c r="F44" s="41"/>
      <c r="G44" s="41"/>
      <c r="H44" s="42">
        <v>312</v>
      </c>
      <c r="K44" s="41"/>
      <c r="L44" s="46">
        <v>2936.28</v>
      </c>
      <c r="O44" s="41"/>
      <c r="P44" s="42">
        <v>2.52</v>
      </c>
      <c r="S44" s="47">
        <v>23.68</v>
      </c>
      <c r="W44" s="45" t="s">
        <v>48</v>
      </c>
      <c r="X44" s="1">
        <f t="shared" si="14"/>
        <v>0</v>
      </c>
      <c r="Y44" s="1">
        <f t="shared" si="15"/>
        <v>0</v>
      </c>
      <c r="Z44" s="7">
        <f t="shared" si="16"/>
        <v>0</v>
      </c>
      <c r="AC44" s="9" t="str">
        <f>W39</f>
        <v>DaPra, Kylan</v>
      </c>
      <c r="AD44" s="14">
        <f t="shared" ref="AD44:AD53" si="17">IF(VLOOKUP(AC44,$W:$Z,2,FALSE)&gt;=100,
    IF(VLOOKUP(AC44,$W:$Z,4,FALSE)&gt;$AD$13,
        IF(VLOOKUP(AC44,$W:$Z,4,FALSE)&gt;=$AD$13+0.5,3,
            IF(VLOOKUP(AC44,$W:$Z,4,FALSE)&gt;=$AD$13+0.25,2,1)
        ),
    0),
0)</f>
        <v>0</v>
      </c>
    </row>
    <row r="45" spans="1:34" x14ac:dyDescent="0.3">
      <c r="A45" s="44" t="s">
        <v>45</v>
      </c>
      <c r="D45" s="40">
        <v>143</v>
      </c>
      <c r="E45" s="41"/>
      <c r="F45" s="41"/>
      <c r="G45" s="41"/>
      <c r="H45" s="42">
        <v>366</v>
      </c>
      <c r="K45" s="41"/>
      <c r="L45" s="46">
        <v>3286.9</v>
      </c>
      <c r="O45" s="41"/>
      <c r="P45" s="42">
        <v>2.56</v>
      </c>
      <c r="S45" s="47">
        <v>22.99</v>
      </c>
      <c r="W45" s="45" t="s">
        <v>107</v>
      </c>
      <c r="X45" s="1">
        <f t="shared" si="14"/>
        <v>4</v>
      </c>
      <c r="Y45" s="1">
        <f t="shared" si="15"/>
        <v>6</v>
      </c>
      <c r="Z45" s="7">
        <f t="shared" si="16"/>
        <v>1.5</v>
      </c>
      <c r="AC45" s="9" t="str">
        <f>W40</f>
        <v xml:space="preserve">Albert, Rowan </v>
      </c>
      <c r="AD45" s="14">
        <f t="shared" si="17"/>
        <v>0</v>
      </c>
    </row>
    <row r="46" spans="1:34" x14ac:dyDescent="0.3">
      <c r="A46" s="44" t="s">
        <v>46</v>
      </c>
      <c r="D46" s="40">
        <v>126</v>
      </c>
      <c r="E46" s="41"/>
      <c r="F46" s="41"/>
      <c r="G46" s="41"/>
      <c r="H46" s="42">
        <v>337</v>
      </c>
      <c r="K46" s="41"/>
      <c r="L46" s="46">
        <v>3188.73</v>
      </c>
      <c r="O46" s="41"/>
      <c r="P46" s="42">
        <v>2.67</v>
      </c>
      <c r="S46" s="47">
        <v>25.31</v>
      </c>
      <c r="V46" s="1" t="s">
        <v>94</v>
      </c>
      <c r="W46" s="9" t="s">
        <v>17</v>
      </c>
      <c r="X46" s="1">
        <f t="shared" si="14"/>
        <v>0</v>
      </c>
      <c r="Y46" s="1">
        <f t="shared" si="15"/>
        <v>0</v>
      </c>
      <c r="Z46" s="7">
        <f t="shared" si="16"/>
        <v>0</v>
      </c>
      <c r="AC46" s="9" t="str">
        <f t="shared" ref="AC46:AC53" si="18">W41</f>
        <v>Cloud, Annette</v>
      </c>
      <c r="AD46" s="14">
        <f t="shared" si="17"/>
        <v>0</v>
      </c>
    </row>
    <row r="47" spans="1:34" x14ac:dyDescent="0.3">
      <c r="A47" s="44" t="s">
        <v>105</v>
      </c>
      <c r="D47" s="40">
        <v>49</v>
      </c>
      <c r="E47" s="41"/>
      <c r="F47" s="41"/>
      <c r="G47" s="41"/>
      <c r="H47" s="42">
        <v>108</v>
      </c>
      <c r="K47" s="41"/>
      <c r="L47" s="46">
        <v>1025</v>
      </c>
      <c r="O47" s="41"/>
      <c r="P47" s="42">
        <v>2.2000000000000002</v>
      </c>
      <c r="S47" s="47">
        <v>20.92</v>
      </c>
      <c r="V47" s="1" t="s">
        <v>95</v>
      </c>
      <c r="W47" s="9" t="s">
        <v>17</v>
      </c>
      <c r="X47" s="1">
        <f t="shared" si="14"/>
        <v>0</v>
      </c>
      <c r="Y47" s="1">
        <f t="shared" si="15"/>
        <v>0</v>
      </c>
      <c r="Z47" s="7">
        <f t="shared" si="16"/>
        <v>0</v>
      </c>
      <c r="AC47" s="9" t="str">
        <f t="shared" si="18"/>
        <v>Hill, Gabby</v>
      </c>
      <c r="AD47" s="14">
        <f t="shared" si="17"/>
        <v>2</v>
      </c>
    </row>
    <row r="48" spans="1:34" x14ac:dyDescent="0.3">
      <c r="A48" s="44" t="s">
        <v>47</v>
      </c>
      <c r="D48" s="40">
        <v>303</v>
      </c>
      <c r="E48" s="41"/>
      <c r="F48" s="41"/>
      <c r="G48" s="41"/>
      <c r="H48" s="42">
        <v>687</v>
      </c>
      <c r="K48" s="41"/>
      <c r="L48" s="46">
        <v>6845.26</v>
      </c>
      <c r="O48" s="41"/>
      <c r="P48" s="42">
        <v>2.27</v>
      </c>
      <c r="S48" s="47">
        <v>22.59</v>
      </c>
      <c r="W48" s="10" t="s">
        <v>17</v>
      </c>
      <c r="X48" s="11">
        <f t="shared" si="14"/>
        <v>0</v>
      </c>
      <c r="Y48" s="11">
        <f t="shared" si="15"/>
        <v>0</v>
      </c>
      <c r="Z48" s="12">
        <f t="shared" si="16"/>
        <v>0</v>
      </c>
      <c r="AC48" s="9" t="str">
        <f t="shared" si="18"/>
        <v>Koessler, Bayley</v>
      </c>
      <c r="AD48" s="14">
        <f t="shared" si="17"/>
        <v>0</v>
      </c>
    </row>
    <row r="49" spans="1:30" x14ac:dyDescent="0.3">
      <c r="A49" s="44" t="s">
        <v>76</v>
      </c>
      <c r="D49" s="40">
        <v>143</v>
      </c>
      <c r="E49" s="41"/>
      <c r="F49" s="41"/>
      <c r="G49" s="41"/>
      <c r="H49" s="42">
        <v>355</v>
      </c>
      <c r="K49" s="41"/>
      <c r="L49" s="46">
        <v>3935.11</v>
      </c>
      <c r="O49" s="41"/>
      <c r="P49" s="42">
        <v>2.48</v>
      </c>
      <c r="S49" s="47">
        <v>27.52</v>
      </c>
      <c r="AC49" s="9" t="str">
        <f t="shared" si="18"/>
        <v>Wetsit, Karlos</v>
      </c>
      <c r="AD49" s="14">
        <f t="shared" si="17"/>
        <v>0</v>
      </c>
    </row>
    <row r="50" spans="1:30" x14ac:dyDescent="0.3">
      <c r="A50" s="44" t="s">
        <v>84</v>
      </c>
      <c r="D50" s="40">
        <v>167</v>
      </c>
      <c r="E50" s="41"/>
      <c r="F50" s="41"/>
      <c r="G50" s="41"/>
      <c r="H50" s="42">
        <v>418</v>
      </c>
      <c r="K50" s="41"/>
      <c r="L50" s="46">
        <v>3875.03</v>
      </c>
      <c r="O50" s="41"/>
      <c r="P50" s="42">
        <v>2.5</v>
      </c>
      <c r="S50" s="47">
        <v>23.2</v>
      </c>
      <c r="W50" s="62" t="s">
        <v>93</v>
      </c>
      <c r="X50" s="64"/>
      <c r="Y50" s="28" t="s">
        <v>7</v>
      </c>
      <c r="Z50" s="4">
        <f>(SUM(Y53:Y62)/SUM(X53:X62))</f>
        <v>2.6348588120740017</v>
      </c>
      <c r="AC50" s="9" t="str">
        <f t="shared" si="18"/>
        <v>Lawson, Nick</v>
      </c>
      <c r="AD50" s="14">
        <f t="shared" si="17"/>
        <v>0</v>
      </c>
    </row>
    <row r="51" spans="1:30" x14ac:dyDescent="0.3">
      <c r="A51" s="44" t="s">
        <v>74</v>
      </c>
      <c r="D51" s="40">
        <v>0</v>
      </c>
      <c r="E51" s="41"/>
      <c r="F51" s="41"/>
      <c r="G51" s="41"/>
      <c r="H51" s="42">
        <v>0</v>
      </c>
      <c r="K51" s="41"/>
      <c r="L51" s="42">
        <v>0</v>
      </c>
      <c r="O51" s="41"/>
      <c r="P51" s="42">
        <v>0</v>
      </c>
      <c r="S51" s="40">
        <v>0</v>
      </c>
      <c r="W51" s="8"/>
      <c r="Z51" s="7"/>
      <c r="AC51" s="9" t="str">
        <f t="shared" si="18"/>
        <v>Admin, AMC</v>
      </c>
      <c r="AD51" s="14">
        <f t="shared" si="17"/>
        <v>0</v>
      </c>
    </row>
    <row r="52" spans="1:30" x14ac:dyDescent="0.3">
      <c r="A52" s="44" t="s">
        <v>48</v>
      </c>
      <c r="D52" s="40">
        <v>0</v>
      </c>
      <c r="E52" s="41"/>
      <c r="F52" s="41"/>
      <c r="G52" s="41"/>
      <c r="H52" s="42">
        <v>0</v>
      </c>
      <c r="K52" s="41"/>
      <c r="L52" s="42">
        <v>0</v>
      </c>
      <c r="O52" s="41"/>
      <c r="P52" s="42">
        <v>0</v>
      </c>
      <c r="S52" s="40">
        <v>0</v>
      </c>
      <c r="W52" s="8"/>
      <c r="X52" s="24" t="s">
        <v>52</v>
      </c>
      <c r="Y52" s="24" t="s">
        <v>13</v>
      </c>
      <c r="Z52" s="25" t="s">
        <v>7</v>
      </c>
      <c r="AC52" s="9" t="str">
        <f t="shared" si="18"/>
        <v>Admin, AMC</v>
      </c>
      <c r="AD52" s="14">
        <f t="shared" si="17"/>
        <v>0</v>
      </c>
    </row>
    <row r="53" spans="1:30" x14ac:dyDescent="0.3">
      <c r="A53" s="44" t="s">
        <v>49</v>
      </c>
      <c r="D53" s="40">
        <v>75</v>
      </c>
      <c r="E53" s="41"/>
      <c r="F53" s="41"/>
      <c r="G53" s="41"/>
      <c r="H53" s="42">
        <v>174</v>
      </c>
      <c r="K53" s="41"/>
      <c r="L53" s="46">
        <v>1695.94</v>
      </c>
      <c r="O53" s="41"/>
      <c r="P53" s="42">
        <v>2.3199999999999998</v>
      </c>
      <c r="S53" s="47">
        <v>22.61</v>
      </c>
      <c r="W53" s="9" t="s">
        <v>35</v>
      </c>
      <c r="X53" s="1">
        <f>VLOOKUP(W53,$A$12:$S$56, 4,FALSE)</f>
        <v>23</v>
      </c>
      <c r="Y53" s="1">
        <f>VLOOKUP(W53,$A$12:$S$56, 8,FALSE)</f>
        <v>153</v>
      </c>
      <c r="Z53" s="7">
        <f>VLOOKUP(W53,$A$12:$S$56, 16,FALSE)</f>
        <v>6.65</v>
      </c>
      <c r="AC53" s="9" t="str">
        <f t="shared" si="18"/>
        <v>Admin, AMC</v>
      </c>
      <c r="AD53" s="14">
        <f t="shared" si="17"/>
        <v>0</v>
      </c>
    </row>
    <row r="54" spans="1:30" x14ac:dyDescent="0.3">
      <c r="A54" s="44" t="s">
        <v>50</v>
      </c>
      <c r="D54" s="40">
        <v>122</v>
      </c>
      <c r="E54" s="41"/>
      <c r="F54" s="41"/>
      <c r="G54" s="41"/>
      <c r="H54" s="42">
        <v>301</v>
      </c>
      <c r="K54" s="41"/>
      <c r="L54" s="46">
        <v>2885.59</v>
      </c>
      <c r="O54" s="41"/>
      <c r="P54" s="42">
        <v>2.4700000000000002</v>
      </c>
      <c r="S54" s="47">
        <v>23.65</v>
      </c>
      <c r="W54" s="45" t="s">
        <v>86</v>
      </c>
      <c r="X54" s="1">
        <f t="shared" ref="X54:X62" si="19">VLOOKUP(W54,$A$12:$S$56, 4,FALSE)</f>
        <v>409</v>
      </c>
      <c r="Y54" s="1">
        <f t="shared" ref="Y54:Y62" si="20">VLOOKUP(W54,$A$12:$S$56, 8,FALSE)</f>
        <v>1085</v>
      </c>
      <c r="Z54" s="7">
        <f t="shared" ref="Z54:Z62" si="21">VLOOKUP(W54,$A$12:$S$56, 16,FALSE)</f>
        <v>2.65</v>
      </c>
      <c r="AC54" s="27" t="s">
        <v>66</v>
      </c>
      <c r="AD54" s="16">
        <f>SUM(AD44:AD53)</f>
        <v>2</v>
      </c>
    </row>
    <row r="55" spans="1:30" x14ac:dyDescent="0.3">
      <c r="A55" s="44" t="s">
        <v>51</v>
      </c>
      <c r="D55" s="40">
        <v>48</v>
      </c>
      <c r="E55" s="41"/>
      <c r="F55" s="41"/>
      <c r="G55" s="41"/>
      <c r="H55" s="42">
        <v>123</v>
      </c>
      <c r="K55" s="41"/>
      <c r="L55" s="46">
        <v>1178.1600000000001</v>
      </c>
      <c r="O55" s="41"/>
      <c r="P55" s="42">
        <v>2.56</v>
      </c>
      <c r="S55" s="47">
        <v>24.55</v>
      </c>
      <c r="W55" s="45" t="s">
        <v>90</v>
      </c>
      <c r="X55" s="1">
        <f t="shared" si="19"/>
        <v>0</v>
      </c>
      <c r="Y55" s="1">
        <f t="shared" si="20"/>
        <v>0</v>
      </c>
      <c r="Z55" s="7">
        <f t="shared" si="21"/>
        <v>0</v>
      </c>
      <c r="AD55" s="3"/>
    </row>
    <row r="56" spans="1:30" x14ac:dyDescent="0.3">
      <c r="A56" s="44" t="s">
        <v>77</v>
      </c>
      <c r="D56" s="40">
        <v>0</v>
      </c>
      <c r="E56" s="41"/>
      <c r="F56" s="41"/>
      <c r="G56" s="41"/>
      <c r="H56" s="42">
        <v>0</v>
      </c>
      <c r="K56" s="41"/>
      <c r="L56" s="42">
        <v>0</v>
      </c>
      <c r="O56" s="41"/>
      <c r="P56" s="42">
        <v>0</v>
      </c>
      <c r="S56" s="40">
        <v>0</v>
      </c>
      <c r="W56" s="45" t="s">
        <v>40</v>
      </c>
      <c r="X56" s="1">
        <f t="shared" si="19"/>
        <v>93</v>
      </c>
      <c r="Y56" s="1">
        <f t="shared" si="20"/>
        <v>221</v>
      </c>
      <c r="Z56" s="7">
        <f t="shared" si="21"/>
        <v>2.38</v>
      </c>
      <c r="AC56" s="23" t="str">
        <f>W50</f>
        <v>Balloon Boy</v>
      </c>
      <c r="AD56" s="26" t="s">
        <v>58</v>
      </c>
    </row>
    <row r="57" spans="1:30" x14ac:dyDescent="0.3">
      <c r="W57" s="45" t="s">
        <v>45</v>
      </c>
      <c r="X57" s="1">
        <f t="shared" si="19"/>
        <v>143</v>
      </c>
      <c r="Y57" s="1">
        <f t="shared" si="20"/>
        <v>366</v>
      </c>
      <c r="Z57" s="7">
        <f t="shared" si="21"/>
        <v>2.56</v>
      </c>
      <c r="AC57" s="9" t="str">
        <f>W53</f>
        <v>Kelly, Ryan</v>
      </c>
      <c r="AD57" s="14">
        <f t="shared" ref="AD57:AD65" si="22">IF(VLOOKUP(AC57,$W:$Z,2,FALSE)&gt;=100,
    IF(VLOOKUP(AC57,$W:$Z,4,FALSE)&gt;$AD$13,
        IF(VLOOKUP(AC57,$W:$Z,4,FALSE)&gt;=$AD$13+0.5,3,
            IF(VLOOKUP(AC57,$W:$Z,4,FALSE)&gt;=$AD$13+0.25,2,1)
        ),
    0),
0)</f>
        <v>0</v>
      </c>
    </row>
    <row r="58" spans="1:30" x14ac:dyDescent="0.3">
      <c r="V58" s="2"/>
      <c r="W58" s="45" t="s">
        <v>76</v>
      </c>
      <c r="X58" s="1">
        <f t="shared" si="19"/>
        <v>143</v>
      </c>
      <c r="Y58" s="1">
        <f t="shared" si="20"/>
        <v>355</v>
      </c>
      <c r="Z58" s="7">
        <f t="shared" si="21"/>
        <v>2.48</v>
      </c>
      <c r="AC58" s="9" t="str">
        <f>W54</f>
        <v>Isreal, Zeal</v>
      </c>
      <c r="AD58" s="14">
        <f t="shared" si="22"/>
        <v>1</v>
      </c>
    </row>
    <row r="59" spans="1:30" x14ac:dyDescent="0.3">
      <c r="W59" s="45" t="s">
        <v>84</v>
      </c>
      <c r="X59" s="1">
        <f t="shared" si="19"/>
        <v>167</v>
      </c>
      <c r="Y59" s="1">
        <f t="shared" si="20"/>
        <v>418</v>
      </c>
      <c r="Z59" s="7">
        <f t="shared" si="21"/>
        <v>2.5</v>
      </c>
      <c r="AC59" s="9" t="str">
        <f t="shared" ref="AC59:AC62" si="23">W55</f>
        <v>Lingg, Beckett</v>
      </c>
      <c r="AD59" s="14">
        <f t="shared" si="22"/>
        <v>0</v>
      </c>
    </row>
    <row r="60" spans="1:30" x14ac:dyDescent="0.3">
      <c r="W60" s="45" t="s">
        <v>77</v>
      </c>
      <c r="X60" s="1">
        <f t="shared" si="19"/>
        <v>0</v>
      </c>
      <c r="Y60" s="1">
        <f t="shared" si="20"/>
        <v>0</v>
      </c>
      <c r="Z60" s="7">
        <f t="shared" si="21"/>
        <v>0</v>
      </c>
      <c r="AC60" s="9" t="str">
        <f t="shared" si="23"/>
        <v>McChesney, Jack</v>
      </c>
      <c r="AD60" s="14">
        <f t="shared" si="22"/>
        <v>0</v>
      </c>
    </row>
    <row r="61" spans="1:30" x14ac:dyDescent="0.3">
      <c r="V61" s="1" t="s">
        <v>97</v>
      </c>
      <c r="W61" s="45" t="s">
        <v>105</v>
      </c>
      <c r="X61" s="1">
        <f t="shared" si="19"/>
        <v>49</v>
      </c>
      <c r="Y61" s="1">
        <f t="shared" si="20"/>
        <v>108</v>
      </c>
      <c r="Z61" s="7">
        <f t="shared" si="21"/>
        <v>2.2000000000000002</v>
      </c>
      <c r="AC61" s="9" t="str">
        <f t="shared" si="23"/>
        <v>Perez-Tellez, Damien</v>
      </c>
      <c r="AD61" s="14">
        <f t="shared" si="22"/>
        <v>1</v>
      </c>
    </row>
    <row r="62" spans="1:30" x14ac:dyDescent="0.3">
      <c r="W62" s="10" t="s">
        <v>17</v>
      </c>
      <c r="X62" s="11">
        <f t="shared" si="19"/>
        <v>0</v>
      </c>
      <c r="Y62" s="11">
        <f t="shared" si="20"/>
        <v>0</v>
      </c>
      <c r="Z62" s="12">
        <f t="shared" si="21"/>
        <v>0</v>
      </c>
      <c r="AC62" s="9" t="str">
        <f t="shared" si="23"/>
        <v>Shteyngart, Jenna</v>
      </c>
      <c r="AD62" s="14">
        <f t="shared" si="22"/>
        <v>0</v>
      </c>
    </row>
    <row r="63" spans="1:30" x14ac:dyDescent="0.3">
      <c r="AC63" s="9" t="str">
        <f>W59</f>
        <v>Smith, Anders</v>
      </c>
      <c r="AD63" s="14">
        <f t="shared" si="22"/>
        <v>0</v>
      </c>
    </row>
    <row r="64" spans="1:30" x14ac:dyDescent="0.3">
      <c r="W64" s="62" t="s">
        <v>81</v>
      </c>
      <c r="X64" s="64"/>
      <c r="Y64" s="28" t="s">
        <v>7</v>
      </c>
      <c r="Z64" s="4">
        <f>(SUM(Y67:Y75)/SUM(X67:X75))</f>
        <v>2.3412698412698414</v>
      </c>
      <c r="AC64" s="9" t="str">
        <f>W60</f>
        <v>Zinn Krulewitch, Mari</v>
      </c>
      <c r="AD64" s="14">
        <f t="shared" si="22"/>
        <v>0</v>
      </c>
    </row>
    <row r="65" spans="22:30" x14ac:dyDescent="0.3">
      <c r="W65" s="5"/>
      <c r="X65" s="6"/>
      <c r="Z65" s="7"/>
      <c r="AC65" s="9" t="str">
        <f>W62</f>
        <v>Admin, AMC</v>
      </c>
      <c r="AD65" s="14">
        <f t="shared" si="22"/>
        <v>0</v>
      </c>
    </row>
    <row r="66" spans="22:30" x14ac:dyDescent="0.3">
      <c r="W66" s="8"/>
      <c r="X66" s="24" t="s">
        <v>52</v>
      </c>
      <c r="Y66" s="24" t="s">
        <v>13</v>
      </c>
      <c r="Z66" s="25" t="s">
        <v>7</v>
      </c>
      <c r="AC66" s="27" t="s">
        <v>66</v>
      </c>
      <c r="AD66" s="16">
        <f>SUM(AD57:AD65)</f>
        <v>2</v>
      </c>
    </row>
    <row r="67" spans="22:30" x14ac:dyDescent="0.3">
      <c r="W67" s="45" t="s">
        <v>42</v>
      </c>
      <c r="X67" s="1">
        <f>VLOOKUP(W67,$A$12:$S$56, 4,FALSE)</f>
        <v>161</v>
      </c>
      <c r="Y67" s="1">
        <f>VLOOKUP(W67,$A$12:$S$56, 8,FALSE)</f>
        <v>406</v>
      </c>
      <c r="Z67" s="7">
        <f>VLOOKUP(W67,$A$12:$S$56, 16,FALSE)</f>
        <v>2.52</v>
      </c>
      <c r="AD67" s="3"/>
    </row>
    <row r="68" spans="22:30" x14ac:dyDescent="0.3">
      <c r="W68" s="45" t="s">
        <v>21</v>
      </c>
      <c r="X68" s="1">
        <f t="shared" ref="X68:X75" si="24">VLOOKUP(W68,$A$12:$S$56, 4,FALSE)</f>
        <v>0</v>
      </c>
      <c r="Y68" s="1">
        <f t="shared" ref="Y68:Y75" si="25">VLOOKUP(W68,$A$12:$S$56, 8,FALSE)</f>
        <v>0</v>
      </c>
      <c r="Z68" s="7">
        <f t="shared" ref="Z68:Z75" si="26">VLOOKUP(W68,$A$12:$S$56, 16,FALSE)</f>
        <v>0</v>
      </c>
      <c r="AC68" s="23" t="str">
        <f>W64</f>
        <v>Foxy</v>
      </c>
      <c r="AD68" s="26" t="s">
        <v>58</v>
      </c>
    </row>
    <row r="69" spans="22:30" x14ac:dyDescent="0.3">
      <c r="W69" s="9" t="s">
        <v>26</v>
      </c>
      <c r="X69" s="1">
        <f t="shared" si="24"/>
        <v>0</v>
      </c>
      <c r="Y69" s="1">
        <f t="shared" si="25"/>
        <v>0</v>
      </c>
      <c r="Z69" s="7">
        <f t="shared" si="26"/>
        <v>0</v>
      </c>
      <c r="AC69" s="9" t="str">
        <f>W67</f>
        <v>Mitchell, Gabe</v>
      </c>
      <c r="AD69" s="14">
        <f t="shared" ref="AD69:AD77" si="27">IF(VLOOKUP(AC69,$W:$Z,2,FALSE)&gt;=100,
    IF(VLOOKUP(AC69,$W:$Z,4,FALSE)&gt;$AD$13,
        IF(VLOOKUP(AC69,$W:$Z,4,FALSE)&gt;=$AD$13+0.5,3,
            IF(VLOOKUP(AC69,$W:$Z,4,FALSE)&gt;=$AD$13+0.25,2,1)
        ),
    0),
0)</f>
        <v>0</v>
      </c>
    </row>
    <row r="70" spans="22:30" x14ac:dyDescent="0.3">
      <c r="W70" s="45" t="s">
        <v>82</v>
      </c>
      <c r="X70" s="1">
        <f t="shared" si="24"/>
        <v>50</v>
      </c>
      <c r="Y70" s="1">
        <f t="shared" si="25"/>
        <v>99</v>
      </c>
      <c r="Z70" s="7">
        <f t="shared" si="26"/>
        <v>1.98</v>
      </c>
      <c r="AC70" s="9" t="str">
        <f>W68</f>
        <v>Alemayehu, Eyouel</v>
      </c>
      <c r="AD70" s="14">
        <f t="shared" si="27"/>
        <v>0</v>
      </c>
    </row>
    <row r="71" spans="22:30" x14ac:dyDescent="0.3">
      <c r="W71" s="9" t="s">
        <v>38</v>
      </c>
      <c r="X71" s="1">
        <f t="shared" si="24"/>
        <v>41</v>
      </c>
      <c r="Y71" s="1">
        <f t="shared" si="25"/>
        <v>109</v>
      </c>
      <c r="Z71" s="7">
        <f>VLOOKUP(W71,$A$12:$S$56, 16,FALSE)</f>
        <v>2.66</v>
      </c>
      <c r="AC71" s="9" t="str">
        <f t="shared" ref="AC71:AC77" si="28">W69</f>
        <v>Delelu, Samra</v>
      </c>
      <c r="AD71" s="14">
        <f t="shared" si="27"/>
        <v>0</v>
      </c>
    </row>
    <row r="72" spans="22:30" x14ac:dyDescent="0.3">
      <c r="W72" s="9" t="s">
        <v>47</v>
      </c>
      <c r="X72" s="1">
        <f t="shared" si="24"/>
        <v>303</v>
      </c>
      <c r="Y72" s="1">
        <f t="shared" si="25"/>
        <v>687</v>
      </c>
      <c r="Z72" s="7">
        <f t="shared" si="26"/>
        <v>2.27</v>
      </c>
      <c r="AC72" s="9" t="str">
        <f t="shared" si="28"/>
        <v>Krause, Daniel</v>
      </c>
      <c r="AD72" s="14">
        <f t="shared" si="27"/>
        <v>0</v>
      </c>
    </row>
    <row r="73" spans="22:30" x14ac:dyDescent="0.3">
      <c r="V73" s="1" t="s">
        <v>98</v>
      </c>
      <c r="W73" s="45" t="s">
        <v>49</v>
      </c>
      <c r="X73" s="1">
        <f t="shared" si="24"/>
        <v>75</v>
      </c>
      <c r="Y73" s="1">
        <f t="shared" si="25"/>
        <v>174</v>
      </c>
      <c r="Z73" s="7">
        <f t="shared" si="26"/>
        <v>2.3199999999999998</v>
      </c>
      <c r="AC73" s="9" t="str">
        <f t="shared" si="28"/>
        <v>Lopez, Matthew</v>
      </c>
      <c r="AD73" s="14">
        <f t="shared" si="27"/>
        <v>0</v>
      </c>
    </row>
    <row r="74" spans="22:30" x14ac:dyDescent="0.3">
      <c r="V74" s="1" t="s">
        <v>99</v>
      </c>
      <c r="W74" s="9" t="s">
        <v>17</v>
      </c>
      <c r="X74" s="1">
        <f t="shared" si="24"/>
        <v>0</v>
      </c>
      <c r="Y74" s="1">
        <f t="shared" si="25"/>
        <v>0</v>
      </c>
      <c r="Z74" s="7">
        <f t="shared" si="26"/>
        <v>0</v>
      </c>
      <c r="AC74" s="9" t="str">
        <f t="shared" si="28"/>
        <v>Santaella, Adriana</v>
      </c>
      <c r="AD74" s="14">
        <f t="shared" si="27"/>
        <v>0</v>
      </c>
    </row>
    <row r="75" spans="22:30" x14ac:dyDescent="0.3">
      <c r="W75" s="10" t="s">
        <v>17</v>
      </c>
      <c r="X75" s="11">
        <f t="shared" si="24"/>
        <v>0</v>
      </c>
      <c r="Y75" s="11">
        <f t="shared" si="25"/>
        <v>0</v>
      </c>
      <c r="Z75" s="12">
        <f t="shared" si="26"/>
        <v>0</v>
      </c>
      <c r="AC75" s="9" t="str">
        <f t="shared" si="28"/>
        <v xml:space="preserve">Woodke, Jeralyn </v>
      </c>
      <c r="AD75" s="14">
        <f t="shared" si="27"/>
        <v>0</v>
      </c>
    </row>
    <row r="76" spans="22:30" x14ac:dyDescent="0.3">
      <c r="AC76" s="9" t="str">
        <f t="shared" si="28"/>
        <v>Admin, AMC</v>
      </c>
      <c r="AD76" s="14">
        <f t="shared" si="27"/>
        <v>0</v>
      </c>
    </row>
    <row r="77" spans="22:30" x14ac:dyDescent="0.3">
      <c r="AC77" s="9" t="str">
        <f t="shared" si="28"/>
        <v>Admin, AMC</v>
      </c>
      <c r="AD77" s="14">
        <f t="shared" si="27"/>
        <v>0</v>
      </c>
    </row>
    <row r="78" spans="22:30" x14ac:dyDescent="0.3">
      <c r="AC78" s="27" t="s">
        <v>66</v>
      </c>
      <c r="AD78" s="16">
        <f>SUM(AD69:AD77)</f>
        <v>0</v>
      </c>
    </row>
  </sheetData>
  <mergeCells count="11">
    <mergeCell ref="AG21:AH21"/>
    <mergeCell ref="AG7:AH7"/>
    <mergeCell ref="AK7:AP7"/>
    <mergeCell ref="W8:X8"/>
    <mergeCell ref="AG13:AH13"/>
    <mergeCell ref="AM15:AN15"/>
    <mergeCell ref="W22:X22"/>
    <mergeCell ref="AG30:AH30"/>
    <mergeCell ref="W36:X36"/>
    <mergeCell ref="W50:X50"/>
    <mergeCell ref="W64:X6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0EF35-1F90-415A-9207-7700C4EED097}">
  <dimension ref="A1:AP78"/>
  <sheetViews>
    <sheetView topLeftCell="X1" zoomScale="80" zoomScaleNormal="80" workbookViewId="0">
      <selection activeCell="Z8" sqref="Z8"/>
    </sheetView>
  </sheetViews>
  <sheetFormatPr defaultColWidth="9.109375" defaultRowHeight="14.4" x14ac:dyDescent="0.3"/>
  <cols>
    <col min="1" max="1" width="21.5546875" customWidth="1"/>
    <col min="2" max="2" width="7.5546875" customWidth="1"/>
    <col min="3" max="3" width="3.44140625" customWidth="1"/>
    <col min="4" max="4" width="5.109375" customWidth="1"/>
    <col min="5" max="5" width="2.5546875" customWidth="1"/>
    <col min="6" max="6" width="3.6640625" customWidth="1"/>
    <col min="7" max="7" width="6" customWidth="1"/>
    <col min="8" max="8" width="6.88671875" customWidth="1"/>
    <col min="9" max="9" width="7.33203125" customWidth="1"/>
    <col min="10" max="10" width="4" customWidth="1"/>
    <col min="11" max="11" width="2.109375" customWidth="1"/>
    <col min="12" max="12" width="10.33203125" bestFit="1" customWidth="1"/>
    <col min="13" max="13" width="3" customWidth="1"/>
    <col min="14" max="14" width="3.88671875" customWidth="1"/>
    <col min="15" max="15" width="6.33203125" customWidth="1"/>
    <col min="16" max="16" width="5.6640625" bestFit="1" customWidth="1"/>
    <col min="17" max="17" width="9" customWidth="1"/>
    <col min="18" max="18" width="10.5546875" customWidth="1"/>
    <col min="19" max="19" width="10.6640625" customWidth="1"/>
    <col min="20" max="22" width="9.109375" style="1"/>
    <col min="23" max="23" width="19.33203125" style="1" bestFit="1" customWidth="1"/>
    <col min="24" max="24" width="15.5546875" style="1" bestFit="1" customWidth="1"/>
    <col min="25" max="25" width="18.33203125" style="1" bestFit="1" customWidth="1"/>
    <col min="26" max="26" width="21.33203125" style="1" bestFit="1" customWidth="1"/>
    <col min="27" max="28" width="9.109375" style="1"/>
    <col min="29" max="29" width="19.33203125" style="1" bestFit="1" customWidth="1"/>
    <col min="30" max="30" width="16.109375" style="1" customWidth="1"/>
    <col min="31" max="31" width="9.109375" style="3"/>
    <col min="32" max="32" width="9.109375" style="1"/>
    <col min="33" max="33" width="18.88671875" style="1" customWidth="1"/>
    <col min="34" max="34" width="20" style="1" customWidth="1"/>
    <col min="35" max="36" width="9.109375" style="1"/>
    <col min="37" max="37" width="15" style="1" bestFit="1" customWidth="1"/>
    <col min="38" max="38" width="14.44140625" style="1" bestFit="1" customWidth="1"/>
    <col min="39" max="39" width="23.5546875" style="1" bestFit="1" customWidth="1"/>
    <col min="40" max="40" width="30.109375" style="1" bestFit="1" customWidth="1"/>
    <col min="41" max="41" width="13.33203125" style="1" bestFit="1" customWidth="1"/>
    <col min="42" max="42" width="11.44140625" style="1" bestFit="1" customWidth="1"/>
    <col min="43" max="16384" width="9.109375" style="1"/>
  </cols>
  <sheetData>
    <row r="1" spans="1:42" ht="17.399999999999999" x14ac:dyDescent="0.3">
      <c r="A1" s="29" t="s">
        <v>2</v>
      </c>
      <c r="B1" s="30"/>
      <c r="F1" s="31" t="s">
        <v>1</v>
      </c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42" x14ac:dyDescent="0.3">
      <c r="A2" s="29" t="s">
        <v>0</v>
      </c>
      <c r="B2" s="30"/>
    </row>
    <row r="3" spans="1:42" x14ac:dyDescent="0.3">
      <c r="A3" s="29" t="s">
        <v>3</v>
      </c>
      <c r="B3" s="30"/>
    </row>
    <row r="4" spans="1:42" x14ac:dyDescent="0.3">
      <c r="A4" s="29" t="s">
        <v>14</v>
      </c>
      <c r="B4" s="30"/>
      <c r="F4" s="33" t="s">
        <v>111</v>
      </c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</row>
    <row r="5" spans="1:42" x14ac:dyDescent="0.3">
      <c r="A5" s="29" t="s">
        <v>4</v>
      </c>
      <c r="B5" s="30"/>
      <c r="F5" s="33" t="s">
        <v>5</v>
      </c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42" ht="15" thickBot="1" x14ac:dyDescent="0.35">
      <c r="A6" s="29" t="s">
        <v>6</v>
      </c>
      <c r="B6" s="30"/>
    </row>
    <row r="7" spans="1:42" x14ac:dyDescent="0.3">
      <c r="M7" s="35" t="s">
        <v>15</v>
      </c>
      <c r="N7" s="36"/>
      <c r="O7" s="36"/>
      <c r="P7" s="36"/>
      <c r="AC7" s="54" t="s">
        <v>87</v>
      </c>
      <c r="AD7" s="55" t="s">
        <v>7</v>
      </c>
      <c r="AE7" s="53" t="s">
        <v>88</v>
      </c>
      <c r="AG7" s="62" t="s">
        <v>67</v>
      </c>
      <c r="AH7" s="63"/>
      <c r="AK7" s="62" t="s">
        <v>57</v>
      </c>
      <c r="AL7" s="64"/>
      <c r="AM7" s="64"/>
      <c r="AN7" s="64"/>
      <c r="AO7" s="64"/>
      <c r="AP7" s="63"/>
    </row>
    <row r="8" spans="1:42" x14ac:dyDescent="0.3">
      <c r="I8" s="37" t="s">
        <v>7</v>
      </c>
      <c r="M8" s="35" t="s">
        <v>16</v>
      </c>
      <c r="N8" s="36"/>
      <c r="O8" s="36"/>
      <c r="P8" s="36"/>
      <c r="W8" s="62" t="s">
        <v>78</v>
      </c>
      <c r="X8" s="64"/>
      <c r="Y8" s="28" t="s">
        <v>56</v>
      </c>
      <c r="Z8" s="4">
        <f>(SUM(Y11:Y20)/SUM(X11:X20))</f>
        <v>2.5349544072948329</v>
      </c>
      <c r="AC8" s="48" t="str">
        <f>W8</f>
        <v>Chica</v>
      </c>
      <c r="AD8" s="1">
        <f>Z8</f>
        <v>2.5349544072948329</v>
      </c>
      <c r="AE8" s="49">
        <f>SUM(X11:X20)</f>
        <v>329</v>
      </c>
      <c r="AG8" s="8" t="s">
        <v>53</v>
      </c>
      <c r="AH8" s="7" t="str">
        <f>INDEX($AC$8:$AC$12, MATCH(LARGE($AD$8:$AD$12, 1), $AD$8:$AD$12, 0))</f>
        <v>Freddy</v>
      </c>
      <c r="AK8" s="18"/>
      <c r="AL8" s="19" t="s">
        <v>60</v>
      </c>
      <c r="AM8" s="19" t="s">
        <v>62</v>
      </c>
      <c r="AN8" s="19" t="s">
        <v>63</v>
      </c>
      <c r="AO8" s="19" t="s">
        <v>61</v>
      </c>
      <c r="AP8" s="22" t="s">
        <v>64</v>
      </c>
    </row>
    <row r="9" spans="1:42" x14ac:dyDescent="0.3">
      <c r="D9" s="38"/>
      <c r="E9" s="38"/>
      <c r="F9" s="38"/>
      <c r="G9" s="39" t="s">
        <v>9</v>
      </c>
      <c r="I9" s="40">
        <v>2.4700000000000002</v>
      </c>
      <c r="N9" s="41"/>
      <c r="O9" s="42" t="s">
        <v>112</v>
      </c>
      <c r="W9" s="5"/>
      <c r="X9" s="6"/>
      <c r="Z9" s="7"/>
      <c r="AC9" s="48" t="str">
        <f>W22</f>
        <v>Bonnie</v>
      </c>
      <c r="AD9" s="1">
        <f>Z22</f>
        <v>2.4912280701754388</v>
      </c>
      <c r="AE9" s="49">
        <f>SUM(X25:X34)</f>
        <v>342</v>
      </c>
      <c r="AG9" s="8" t="s">
        <v>54</v>
      </c>
      <c r="AH9" s="7" t="str">
        <f>INDEX($AC$8:$AC$12, MATCH(LARGE($AD$8:$AD$12, 2), $AD$8:$AD$12, 0))</f>
        <v>Chica</v>
      </c>
      <c r="AK9" s="13" t="str">
        <f>W8</f>
        <v>Chica</v>
      </c>
      <c r="AL9" s="3">
        <f>'Week 3'!AP9</f>
        <v>11</v>
      </c>
      <c r="AM9" s="3">
        <f>AD28</f>
        <v>1</v>
      </c>
      <c r="AN9" s="3">
        <f>AH31</f>
        <v>0</v>
      </c>
      <c r="AO9" s="3">
        <f>AH14</f>
        <v>2</v>
      </c>
      <c r="AP9" s="14">
        <f>SUM(AL9:AO9)</f>
        <v>14</v>
      </c>
    </row>
    <row r="10" spans="1:42" x14ac:dyDescent="0.3">
      <c r="B10" s="38"/>
      <c r="C10" s="38"/>
      <c r="D10" s="39" t="s">
        <v>11</v>
      </c>
      <c r="W10" s="8"/>
      <c r="X10" s="24" t="s">
        <v>52</v>
      </c>
      <c r="Y10" s="24" t="s">
        <v>13</v>
      </c>
      <c r="Z10" s="25" t="s">
        <v>7</v>
      </c>
      <c r="AC10" s="48" t="str">
        <f>W36</f>
        <v>Freddy</v>
      </c>
      <c r="AD10" s="1">
        <f>Z36</f>
        <v>2.5585585585585586</v>
      </c>
      <c r="AE10" s="49">
        <f>SUM(X39:X48)</f>
        <v>333</v>
      </c>
      <c r="AG10" s="17" t="s">
        <v>55</v>
      </c>
      <c r="AH10" s="12" t="str">
        <f>INDEX($AC$8:$AC$12, MATCH(LARGE($AD$8:$AD$12, 3), $AD$8:$AD$12, 0))</f>
        <v>Bonnie</v>
      </c>
      <c r="AK10" s="13" t="str">
        <f>W22</f>
        <v>Bonnie</v>
      </c>
      <c r="AL10" s="3">
        <f>'Week 3'!AP10</f>
        <v>7</v>
      </c>
      <c r="AM10" s="3">
        <f>AD41</f>
        <v>2</v>
      </c>
      <c r="AN10" s="3">
        <f t="shared" ref="AN10:AN12" si="0">AH32</f>
        <v>0</v>
      </c>
      <c r="AO10" s="3">
        <f>AH15</f>
        <v>1</v>
      </c>
      <c r="AP10" s="14">
        <f t="shared" ref="AP10:AP13" si="1">SUM(AL10:AO10)</f>
        <v>10</v>
      </c>
    </row>
    <row r="11" spans="1:42" x14ac:dyDescent="0.3">
      <c r="A11" s="43" t="s">
        <v>12</v>
      </c>
      <c r="B11" s="38"/>
      <c r="C11" s="38"/>
      <c r="D11" s="38"/>
      <c r="G11" s="39" t="s">
        <v>13</v>
      </c>
      <c r="H11" s="38"/>
      <c r="I11" s="38"/>
      <c r="J11" s="38"/>
      <c r="K11" s="39" t="s">
        <v>10</v>
      </c>
      <c r="L11" s="38"/>
      <c r="M11" s="38"/>
      <c r="O11" s="38"/>
      <c r="P11" s="39" t="s">
        <v>7</v>
      </c>
      <c r="R11" s="38"/>
      <c r="S11" s="39" t="s">
        <v>8</v>
      </c>
      <c r="W11" s="9" t="s">
        <v>37</v>
      </c>
      <c r="X11" s="1">
        <f>VLOOKUP(W11,$A$12:$S$60, 4,FALSE)</f>
        <v>105</v>
      </c>
      <c r="Y11" s="1">
        <f>VLOOKUP(W11,$A$12:$S$60, 8,FALSE)</f>
        <v>281</v>
      </c>
      <c r="Z11" s="7">
        <f>VLOOKUP(W11,$A$12:$S$60, 16,FALSE)</f>
        <v>2.68</v>
      </c>
      <c r="AC11" s="48" t="str">
        <f>W50</f>
        <v>Balloon Boy</v>
      </c>
      <c r="AD11" s="1">
        <f>Z50</f>
        <v>2.4479553903345725</v>
      </c>
      <c r="AE11" s="49">
        <f>SUM(X53:X62)</f>
        <v>538</v>
      </c>
      <c r="AK11" s="13" t="str">
        <f>W36</f>
        <v>Freddy</v>
      </c>
      <c r="AL11" s="3">
        <f>'Week 3'!AP11</f>
        <v>8</v>
      </c>
      <c r="AM11" s="3">
        <f>AD54</f>
        <v>1</v>
      </c>
      <c r="AN11" s="3">
        <f t="shared" si="0"/>
        <v>0</v>
      </c>
      <c r="AO11" s="3">
        <f>AH16</f>
        <v>3</v>
      </c>
      <c r="AP11" s="14">
        <f t="shared" si="1"/>
        <v>12</v>
      </c>
    </row>
    <row r="12" spans="1:42" x14ac:dyDescent="0.3">
      <c r="A12" s="44" t="s">
        <v>17</v>
      </c>
      <c r="D12" s="40">
        <v>0</v>
      </c>
      <c r="E12" s="41"/>
      <c r="F12" s="41"/>
      <c r="G12" s="41"/>
      <c r="H12" s="42">
        <v>0</v>
      </c>
      <c r="K12" s="41"/>
      <c r="L12" s="42">
        <v>0</v>
      </c>
      <c r="O12" s="41"/>
      <c r="P12" s="42">
        <v>0</v>
      </c>
      <c r="S12" s="40">
        <v>0</v>
      </c>
      <c r="W12" s="9" t="s">
        <v>22</v>
      </c>
      <c r="X12" s="1">
        <f t="shared" ref="X12:X20" si="2">VLOOKUP(W12,$A$12:$S$60, 4,FALSE)</f>
        <v>0</v>
      </c>
      <c r="Y12" s="1">
        <f t="shared" ref="Y12:Y20" si="3">VLOOKUP(W12,$A$12:$S$60, 8,FALSE)</f>
        <v>0</v>
      </c>
      <c r="Z12" s="7">
        <f t="shared" ref="Z12:Z20" si="4">VLOOKUP(W12,$A$12:$S$60, 16,FALSE)</f>
        <v>0</v>
      </c>
      <c r="AC12" s="48" t="str">
        <f>W64</f>
        <v>Foxy</v>
      </c>
      <c r="AD12" s="1">
        <f>Z64</f>
        <v>2.4080944350758853</v>
      </c>
      <c r="AE12" s="49">
        <f>SUM(X67:X75)</f>
        <v>593</v>
      </c>
      <c r="AK12" s="13" t="str">
        <f>W50</f>
        <v>Balloon Boy</v>
      </c>
      <c r="AL12" s="3">
        <f>'Week 3'!AP12</f>
        <v>12</v>
      </c>
      <c r="AM12" s="3">
        <f>AD66</f>
        <v>1</v>
      </c>
      <c r="AN12" s="3">
        <f t="shared" si="0"/>
        <v>0</v>
      </c>
      <c r="AO12" s="3">
        <f>AH17</f>
        <v>0</v>
      </c>
      <c r="AP12" s="14">
        <f t="shared" si="1"/>
        <v>13</v>
      </c>
    </row>
    <row r="13" spans="1:42" ht="15" thickBot="1" x14ac:dyDescent="0.35">
      <c r="A13" s="44" t="s">
        <v>18</v>
      </c>
      <c r="D13" s="40">
        <v>0</v>
      </c>
      <c r="E13" s="41"/>
      <c r="F13" s="41"/>
      <c r="G13" s="41"/>
      <c r="H13" s="42">
        <v>0</v>
      </c>
      <c r="K13" s="41"/>
      <c r="L13" s="42">
        <v>0</v>
      </c>
      <c r="O13" s="41"/>
      <c r="P13" s="42">
        <v>0</v>
      </c>
      <c r="S13" s="40">
        <v>0</v>
      </c>
      <c r="W13" s="45" t="s">
        <v>75</v>
      </c>
      <c r="X13" s="1">
        <f t="shared" si="2"/>
        <v>172</v>
      </c>
      <c r="Y13" s="1">
        <f t="shared" si="3"/>
        <v>424</v>
      </c>
      <c r="Z13" s="7">
        <f t="shared" si="4"/>
        <v>2.4700000000000002</v>
      </c>
      <c r="AC13" s="50" t="s">
        <v>59</v>
      </c>
      <c r="AD13" s="51">
        <f>I9</f>
        <v>2.4700000000000002</v>
      </c>
      <c r="AE13" s="52">
        <f>SUM(D12:D60)</f>
        <v>2135</v>
      </c>
      <c r="AG13" s="65" t="s">
        <v>65</v>
      </c>
      <c r="AH13" s="66"/>
      <c r="AK13" s="15" t="str">
        <f>W64</f>
        <v>Foxy</v>
      </c>
      <c r="AL13" s="21">
        <f>'Week 3'!AP13</f>
        <v>2</v>
      </c>
      <c r="AM13" s="21">
        <f>AD78</f>
        <v>1</v>
      </c>
      <c r="AN13" s="21">
        <f>AH35</f>
        <v>1</v>
      </c>
      <c r="AO13" s="21">
        <f>AH18</f>
        <v>0</v>
      </c>
      <c r="AP13" s="16">
        <f t="shared" si="1"/>
        <v>4</v>
      </c>
    </row>
    <row r="14" spans="1:42" x14ac:dyDescent="0.3">
      <c r="A14" s="44" t="s">
        <v>19</v>
      </c>
      <c r="D14" s="40">
        <v>0</v>
      </c>
      <c r="E14" s="41"/>
      <c r="F14" s="41"/>
      <c r="G14" s="41"/>
      <c r="H14" s="42">
        <v>0</v>
      </c>
      <c r="K14" s="41"/>
      <c r="L14" s="42">
        <v>0</v>
      </c>
      <c r="O14" s="41"/>
      <c r="P14" s="42">
        <v>0</v>
      </c>
      <c r="S14" s="40">
        <v>0</v>
      </c>
      <c r="W14" s="9" t="s">
        <v>30</v>
      </c>
      <c r="X14" s="1">
        <f t="shared" si="2"/>
        <v>2</v>
      </c>
      <c r="Y14" s="1">
        <f t="shared" si="3"/>
        <v>2</v>
      </c>
      <c r="Z14" s="7">
        <f t="shared" si="4"/>
        <v>1</v>
      </c>
      <c r="AG14" s="13" t="str">
        <f>W8</f>
        <v>Chica</v>
      </c>
      <c r="AH14" s="14">
        <f>IF(AG14=$AH$8,3,IF(AG14=$AH$9,2,IF(AG14=$AH$10,1,0)))</f>
        <v>2</v>
      </c>
    </row>
    <row r="15" spans="1:42" x14ac:dyDescent="0.3">
      <c r="A15" s="44" t="s">
        <v>20</v>
      </c>
      <c r="D15" s="40">
        <v>88</v>
      </c>
      <c r="E15" s="41"/>
      <c r="F15" s="41"/>
      <c r="G15" s="41"/>
      <c r="H15" s="42">
        <v>223</v>
      </c>
      <c r="K15" s="41"/>
      <c r="L15" s="46">
        <v>1974.36</v>
      </c>
      <c r="O15" s="41"/>
      <c r="P15" s="42">
        <v>2.5299999999999998</v>
      </c>
      <c r="S15" s="47">
        <v>22.44</v>
      </c>
      <c r="W15" s="9" t="s">
        <v>34</v>
      </c>
      <c r="X15" s="1">
        <f t="shared" si="2"/>
        <v>0</v>
      </c>
      <c r="Y15" s="1">
        <f t="shared" si="3"/>
        <v>0</v>
      </c>
      <c r="Z15" s="7">
        <f t="shared" si="4"/>
        <v>0</v>
      </c>
      <c r="AG15" s="13" t="str">
        <f>W22</f>
        <v>Bonnie</v>
      </c>
      <c r="AH15" s="14">
        <f t="shared" ref="AH15:AH18" si="5">IF(AG15=$AH$8,3,IF(AG15=$AH$9,2,IF(AG15=$AH$10,1,0)))</f>
        <v>1</v>
      </c>
      <c r="AM15" s="62" t="s">
        <v>68</v>
      </c>
      <c r="AN15" s="64"/>
      <c r="AO15" s="4" t="s">
        <v>113</v>
      </c>
    </row>
    <row r="16" spans="1:42" x14ac:dyDescent="0.3">
      <c r="A16" s="44" t="s">
        <v>21</v>
      </c>
      <c r="D16" s="40">
        <v>79</v>
      </c>
      <c r="E16" s="41"/>
      <c r="F16" s="41"/>
      <c r="G16" s="41"/>
      <c r="H16" s="42">
        <v>163</v>
      </c>
      <c r="K16" s="41"/>
      <c r="L16" s="46">
        <v>1534.43</v>
      </c>
      <c r="O16" s="41"/>
      <c r="P16" s="42">
        <v>2.06</v>
      </c>
      <c r="S16" s="47">
        <v>19.420000000000002</v>
      </c>
      <c r="W16" s="9" t="s">
        <v>39</v>
      </c>
      <c r="X16" s="1">
        <f t="shared" si="2"/>
        <v>0</v>
      </c>
      <c r="Y16" s="1">
        <f t="shared" si="3"/>
        <v>0</v>
      </c>
      <c r="Z16" s="7">
        <f t="shared" si="4"/>
        <v>0</v>
      </c>
      <c r="AG16" s="13" t="str">
        <f>W36</f>
        <v>Freddy</v>
      </c>
      <c r="AH16" s="14">
        <f t="shared" si="5"/>
        <v>3</v>
      </c>
      <c r="AM16" s="8" t="s">
        <v>69</v>
      </c>
      <c r="AN16" s="1" t="str">
        <f>INDEX($AK$9:$AK$13, MATCH(LARGE($AP$9:$AP$13, 1), $AP$9:$AP$13, 0))</f>
        <v>Chica</v>
      </c>
      <c r="AO16" s="14">
        <f>VLOOKUP(AN16,$AK$9:$AP$13,6,FALSE)</f>
        <v>14</v>
      </c>
    </row>
    <row r="17" spans="1:41" x14ac:dyDescent="0.3">
      <c r="A17" s="44" t="s">
        <v>22</v>
      </c>
      <c r="D17" s="40">
        <v>0</v>
      </c>
      <c r="E17" s="41"/>
      <c r="F17" s="41"/>
      <c r="G17" s="41"/>
      <c r="H17" s="42">
        <v>0</v>
      </c>
      <c r="K17" s="41"/>
      <c r="L17" s="42">
        <v>0</v>
      </c>
      <c r="O17" s="41"/>
      <c r="P17" s="42">
        <v>0</v>
      </c>
      <c r="S17" s="40">
        <v>0</v>
      </c>
      <c r="W17" s="9" t="s">
        <v>43</v>
      </c>
      <c r="X17" s="1">
        <f t="shared" si="2"/>
        <v>6</v>
      </c>
      <c r="Y17" s="1">
        <f t="shared" si="3"/>
        <v>12</v>
      </c>
      <c r="Z17" s="7">
        <f t="shared" si="4"/>
        <v>2</v>
      </c>
      <c r="AC17" s="23" t="str">
        <f>W8</f>
        <v>Chica</v>
      </c>
      <c r="AD17" s="26" t="s">
        <v>58</v>
      </c>
      <c r="AG17" s="13" t="str">
        <f>W50</f>
        <v>Balloon Boy</v>
      </c>
      <c r="AH17" s="14">
        <f t="shared" si="5"/>
        <v>0</v>
      </c>
      <c r="AM17" s="8" t="s">
        <v>70</v>
      </c>
      <c r="AN17" s="1" t="str">
        <f>INDEX($AK$9:$AK$13, MATCH(LARGE($AP$9:$AP$13, 2), $AP$9:$AP$13, 0))</f>
        <v>Balloon Boy</v>
      </c>
      <c r="AO17" s="14">
        <f t="shared" ref="AO17:AO20" si="6">VLOOKUP(AN17,$AK$9:$AP$13,6,FALSE)</f>
        <v>13</v>
      </c>
    </row>
    <row r="18" spans="1:41" x14ac:dyDescent="0.3">
      <c r="A18" s="44" t="s">
        <v>75</v>
      </c>
      <c r="D18" s="40">
        <v>172</v>
      </c>
      <c r="E18" s="41"/>
      <c r="F18" s="41"/>
      <c r="G18" s="41"/>
      <c r="H18" s="42">
        <v>424</v>
      </c>
      <c r="K18" s="41"/>
      <c r="L18" s="46">
        <v>3827.72</v>
      </c>
      <c r="O18" s="41"/>
      <c r="P18" s="42">
        <v>2.4700000000000002</v>
      </c>
      <c r="S18" s="47">
        <v>22.25</v>
      </c>
      <c r="W18" s="9" t="s">
        <v>104</v>
      </c>
      <c r="X18" s="1">
        <f t="shared" si="2"/>
        <v>25</v>
      </c>
      <c r="Y18" s="1">
        <f t="shared" si="3"/>
        <v>62</v>
      </c>
      <c r="Z18" s="7">
        <f t="shared" si="4"/>
        <v>2.48</v>
      </c>
      <c r="AC18" s="9" t="str">
        <f>W11</f>
        <v>Lopez, Ebony</v>
      </c>
      <c r="AD18" s="14">
        <f t="shared" ref="AD18:AD27" si="7">IF(VLOOKUP(AC18,$W:$Z,2,FALSE)&gt;=100,
    IF(VLOOKUP(AC18,$W:$Z,4,FALSE)&gt;$AD$13,
        IF(VLOOKUP(AC18,$W:$Z,4,FALSE)&gt;=$AD$13+0.5,3,
            IF(VLOOKUP(AC18,$W:$Z,4,FALSE)&gt;=$AD$13+0.25,2,1)
        ),
    0),
0)</f>
        <v>1</v>
      </c>
      <c r="AG18" s="15" t="str">
        <f>W64</f>
        <v>Foxy</v>
      </c>
      <c r="AH18" s="16">
        <f t="shared" si="5"/>
        <v>0</v>
      </c>
      <c r="AM18" s="8" t="s">
        <v>71</v>
      </c>
      <c r="AN18" s="1" t="str">
        <f>INDEX($AK$9:$AK$13, MATCH(LARGE($AP$9:$AP$13, 3), $AP$9:$AP$13, 0))</f>
        <v>Freddy</v>
      </c>
      <c r="AO18" s="14">
        <f t="shared" si="6"/>
        <v>12</v>
      </c>
    </row>
    <row r="19" spans="1:41" x14ac:dyDescent="0.3">
      <c r="A19" s="44" t="s">
        <v>108</v>
      </c>
      <c r="D19" s="40">
        <v>84</v>
      </c>
      <c r="E19" s="41"/>
      <c r="F19" s="41"/>
      <c r="G19" s="41"/>
      <c r="H19" s="42">
        <v>222</v>
      </c>
      <c r="K19" s="41"/>
      <c r="L19" s="46">
        <v>2055.17</v>
      </c>
      <c r="O19" s="41"/>
      <c r="P19" s="42">
        <v>2.64</v>
      </c>
      <c r="S19" s="47">
        <v>24.47</v>
      </c>
      <c r="W19" s="9" t="s">
        <v>74</v>
      </c>
      <c r="X19" s="1">
        <f t="shared" si="2"/>
        <v>19</v>
      </c>
      <c r="Y19" s="1">
        <f t="shared" si="3"/>
        <v>53</v>
      </c>
      <c r="Z19" s="7">
        <f t="shared" si="4"/>
        <v>2.79</v>
      </c>
      <c r="AC19" s="9" t="str">
        <f>W12</f>
        <v>Allen, Wren</v>
      </c>
      <c r="AD19" s="14">
        <f t="shared" si="7"/>
        <v>0</v>
      </c>
      <c r="AM19" s="8" t="s">
        <v>72</v>
      </c>
      <c r="AN19" s="1" t="str">
        <f>INDEX($AK$9:$AK$13, MATCH(LARGE($AP$9:$AP$13, 4), $AP$9:$AP$13, 0))</f>
        <v>Bonnie</v>
      </c>
      <c r="AO19" s="14">
        <f t="shared" si="6"/>
        <v>10</v>
      </c>
    </row>
    <row r="20" spans="1:41" x14ac:dyDescent="0.3">
      <c r="A20" s="44" t="s">
        <v>24</v>
      </c>
      <c r="D20" s="40">
        <v>0</v>
      </c>
      <c r="E20" s="41"/>
      <c r="F20" s="41"/>
      <c r="G20" s="41"/>
      <c r="H20" s="42">
        <v>0</v>
      </c>
      <c r="K20" s="41"/>
      <c r="L20" s="42">
        <v>0</v>
      </c>
      <c r="O20" s="41"/>
      <c r="P20" s="42">
        <v>0</v>
      </c>
      <c r="S20" s="40">
        <v>0</v>
      </c>
      <c r="V20" s="1" t="s">
        <v>101</v>
      </c>
      <c r="W20" s="10" t="s">
        <v>17</v>
      </c>
      <c r="X20" s="11">
        <f t="shared" si="2"/>
        <v>0</v>
      </c>
      <c r="Y20" s="11">
        <f t="shared" si="3"/>
        <v>0</v>
      </c>
      <c r="Z20" s="12">
        <f t="shared" si="4"/>
        <v>0</v>
      </c>
      <c r="AC20" s="9" t="str">
        <f t="shared" ref="AC20:AC25" si="8">W13</f>
        <v>Araya, Kidane</v>
      </c>
      <c r="AD20" s="14">
        <f t="shared" si="7"/>
        <v>0</v>
      </c>
      <c r="AM20" s="17" t="s">
        <v>73</v>
      </c>
      <c r="AN20" s="11" t="str">
        <f>INDEX($AK$9:$AK$13, MATCH(LARGE($AP$9:$AP$13, 5), $AP$9:$AP$13, 0))</f>
        <v>Foxy</v>
      </c>
      <c r="AO20" s="16">
        <f t="shared" si="6"/>
        <v>4</v>
      </c>
    </row>
    <row r="21" spans="1:41" x14ac:dyDescent="0.3">
      <c r="A21" s="44" t="s">
        <v>25</v>
      </c>
      <c r="D21" s="40">
        <v>40</v>
      </c>
      <c r="E21" s="41"/>
      <c r="F21" s="41"/>
      <c r="G21" s="41"/>
      <c r="H21" s="42">
        <v>115</v>
      </c>
      <c r="K21" s="41"/>
      <c r="L21" s="46">
        <v>1023.52</v>
      </c>
      <c r="O21" s="41"/>
      <c r="P21" s="42">
        <v>2.88</v>
      </c>
      <c r="S21" s="47">
        <v>25.59</v>
      </c>
      <c r="AC21" s="9" t="str">
        <f t="shared" si="8"/>
        <v>Gemmer, Jake</v>
      </c>
      <c r="AD21" s="14">
        <f t="shared" si="7"/>
        <v>0</v>
      </c>
      <c r="AG21" s="62" t="s">
        <v>91</v>
      </c>
      <c r="AH21" s="63"/>
    </row>
    <row r="22" spans="1:41" x14ac:dyDescent="0.3">
      <c r="A22" s="44" t="s">
        <v>26</v>
      </c>
      <c r="D22" s="40">
        <v>0</v>
      </c>
      <c r="E22" s="41"/>
      <c r="F22" s="41"/>
      <c r="G22" s="41"/>
      <c r="H22" s="42">
        <v>0</v>
      </c>
      <c r="K22" s="41"/>
      <c r="L22" s="42">
        <v>0</v>
      </c>
      <c r="O22" s="41"/>
      <c r="P22" s="42">
        <v>0</v>
      </c>
      <c r="S22" s="40">
        <v>0</v>
      </c>
      <c r="W22" s="62" t="s">
        <v>79</v>
      </c>
      <c r="X22" s="64"/>
      <c r="Y22" s="28" t="s">
        <v>7</v>
      </c>
      <c r="Z22" s="4">
        <f>(SUM(Y25:Y34)/SUM(X25:X34))</f>
        <v>2.4912280701754388</v>
      </c>
      <c r="AC22" s="9" t="str">
        <f t="shared" si="8"/>
        <v>Jackson, Parker</v>
      </c>
      <c r="AD22" s="14">
        <f t="shared" si="7"/>
        <v>0</v>
      </c>
      <c r="AG22" s="5" t="s">
        <v>87</v>
      </c>
      <c r="AH22" s="58" t="s">
        <v>7</v>
      </c>
    </row>
    <row r="23" spans="1:41" x14ac:dyDescent="0.3">
      <c r="A23" s="44" t="s">
        <v>27</v>
      </c>
      <c r="D23" s="40">
        <v>113</v>
      </c>
      <c r="E23" s="41"/>
      <c r="F23" s="41"/>
      <c r="G23" s="41"/>
      <c r="H23" s="42">
        <v>312</v>
      </c>
      <c r="K23" s="41"/>
      <c r="L23" s="46">
        <v>2815.87</v>
      </c>
      <c r="O23" s="41"/>
      <c r="P23" s="42">
        <v>2.76</v>
      </c>
      <c r="S23" s="47">
        <v>24.92</v>
      </c>
      <c r="W23" s="8"/>
      <c r="Z23" s="7"/>
      <c r="AC23" s="9" t="str">
        <f t="shared" si="8"/>
        <v>Mccarty, Katelynn</v>
      </c>
      <c r="AD23" s="14">
        <f t="shared" si="7"/>
        <v>0</v>
      </c>
      <c r="AG23" s="56" t="str">
        <f>W8</f>
        <v>Chica</v>
      </c>
      <c r="AH23" s="7">
        <f>'Week 3'!AD8</f>
        <v>2.5298507462686568</v>
      </c>
    </row>
    <row r="24" spans="1:41" x14ac:dyDescent="0.3">
      <c r="A24" s="44" t="s">
        <v>28</v>
      </c>
      <c r="D24" s="40">
        <v>15</v>
      </c>
      <c r="E24" s="41"/>
      <c r="F24" s="41"/>
      <c r="G24" s="41"/>
      <c r="H24" s="42">
        <v>36</v>
      </c>
      <c r="K24" s="41"/>
      <c r="L24" s="46">
        <v>338.9</v>
      </c>
      <c r="O24" s="41"/>
      <c r="P24" s="42">
        <v>2.4</v>
      </c>
      <c r="S24" s="47">
        <v>22.59</v>
      </c>
      <c r="W24" s="8"/>
      <c r="X24" s="24" t="s">
        <v>52</v>
      </c>
      <c r="Y24" s="24" t="s">
        <v>13</v>
      </c>
      <c r="Z24" s="25" t="s">
        <v>7</v>
      </c>
      <c r="AC24" s="9" t="str">
        <f t="shared" si="8"/>
        <v>Montero, Rowan</v>
      </c>
      <c r="AD24" s="14">
        <f t="shared" si="7"/>
        <v>0</v>
      </c>
      <c r="AG24" s="56" t="str">
        <f>W22</f>
        <v>Bonnie</v>
      </c>
      <c r="AH24" s="7">
        <f>'Week 3'!AD9</f>
        <v>2.6206896551724137</v>
      </c>
    </row>
    <row r="25" spans="1:41" x14ac:dyDescent="0.3">
      <c r="A25" s="44" t="s">
        <v>103</v>
      </c>
      <c r="D25" s="40">
        <v>0</v>
      </c>
      <c r="E25" s="41"/>
      <c r="F25" s="41"/>
      <c r="G25" s="41"/>
      <c r="H25" s="42">
        <v>0</v>
      </c>
      <c r="K25" s="41"/>
      <c r="L25" s="42">
        <v>0</v>
      </c>
      <c r="O25" s="41"/>
      <c r="P25" s="42">
        <v>0</v>
      </c>
      <c r="S25" s="40">
        <v>0</v>
      </c>
      <c r="W25" s="9" t="s">
        <v>51</v>
      </c>
      <c r="X25" s="1">
        <f>VLOOKUP(W25,$A$12:$S$60, 4,FALSE)</f>
        <v>34</v>
      </c>
      <c r="Y25" s="1">
        <f>VLOOKUP(W25,$A$12:$S$60, 8,FALSE)</f>
        <v>89</v>
      </c>
      <c r="Z25" s="7">
        <f>VLOOKUP(W25,$A$12:$S$60, 16,FALSE)</f>
        <v>2.62</v>
      </c>
      <c r="AC25" s="9" t="str">
        <f t="shared" si="8"/>
        <v>Pepper, Courtney</v>
      </c>
      <c r="AD25" s="14">
        <f t="shared" si="7"/>
        <v>0</v>
      </c>
      <c r="AG25" s="56" t="str">
        <f>W36</f>
        <v>Freddy</v>
      </c>
      <c r="AH25" s="7">
        <f>'Week 3'!AD10</f>
        <v>2.5904436860068261</v>
      </c>
    </row>
    <row r="26" spans="1:41" x14ac:dyDescent="0.3">
      <c r="A26" s="44" t="s">
        <v>29</v>
      </c>
      <c r="D26" s="40">
        <v>0</v>
      </c>
      <c r="E26" s="41"/>
      <c r="F26" s="41"/>
      <c r="G26" s="41"/>
      <c r="H26" s="42">
        <v>0</v>
      </c>
      <c r="K26" s="41"/>
      <c r="L26" s="42">
        <v>0</v>
      </c>
      <c r="O26" s="41"/>
      <c r="P26" s="42">
        <v>0</v>
      </c>
      <c r="S26" s="40">
        <v>0</v>
      </c>
      <c r="W26" s="9" t="s">
        <v>27</v>
      </c>
      <c r="X26" s="1">
        <f t="shared" ref="X26:X34" si="9">VLOOKUP(W26,$A$12:$S$60, 4,FALSE)</f>
        <v>113</v>
      </c>
      <c r="Y26" s="1">
        <f t="shared" ref="Y26:Y34" si="10">VLOOKUP(W26,$A$12:$S$60, 8,FALSE)</f>
        <v>312</v>
      </c>
      <c r="Z26" s="7">
        <f t="shared" ref="Z26:Z34" si="11">VLOOKUP(W26,$A$12:$S$60, 16,FALSE)</f>
        <v>2.76</v>
      </c>
      <c r="AC26" s="9" t="str">
        <f>W19</f>
        <v>Taylor, Ronni</v>
      </c>
      <c r="AD26" s="14">
        <f t="shared" si="7"/>
        <v>0</v>
      </c>
      <c r="AG26" s="56" t="str">
        <f>W50</f>
        <v>Balloon Boy</v>
      </c>
      <c r="AH26" s="7">
        <f>'Week 3'!AD11</f>
        <v>2.6348588120740017</v>
      </c>
    </row>
    <row r="27" spans="1:41" x14ac:dyDescent="0.3">
      <c r="A27" s="44" t="s">
        <v>30</v>
      </c>
      <c r="D27" s="40">
        <v>2</v>
      </c>
      <c r="E27" s="41"/>
      <c r="F27" s="41"/>
      <c r="G27" s="41"/>
      <c r="H27" s="42">
        <v>2</v>
      </c>
      <c r="K27" s="41"/>
      <c r="L27" s="46">
        <v>17.600000000000001</v>
      </c>
      <c r="O27" s="41"/>
      <c r="P27" s="42">
        <v>1</v>
      </c>
      <c r="S27" s="47">
        <v>8.8000000000000007</v>
      </c>
      <c r="W27" s="9" t="s">
        <v>28</v>
      </c>
      <c r="X27" s="1">
        <f t="shared" si="9"/>
        <v>15</v>
      </c>
      <c r="Y27" s="1">
        <f t="shared" si="10"/>
        <v>36</v>
      </c>
      <c r="Z27" s="7">
        <f t="shared" si="11"/>
        <v>2.4</v>
      </c>
      <c r="AC27" s="9" t="str">
        <f>W20</f>
        <v>Admin, AMC</v>
      </c>
      <c r="AD27" s="14">
        <f t="shared" si="7"/>
        <v>0</v>
      </c>
      <c r="AG27" s="57" t="str">
        <f>W64</f>
        <v>Foxy</v>
      </c>
      <c r="AH27" s="12">
        <f>'Week 3'!AD12</f>
        <v>2.3412698412698414</v>
      </c>
    </row>
    <row r="28" spans="1:41" x14ac:dyDescent="0.3">
      <c r="A28" s="44" t="s">
        <v>32</v>
      </c>
      <c r="D28" s="40">
        <v>90</v>
      </c>
      <c r="E28" s="41"/>
      <c r="F28" s="41"/>
      <c r="G28" s="41"/>
      <c r="H28" s="42">
        <v>206</v>
      </c>
      <c r="K28" s="41"/>
      <c r="L28" s="46">
        <v>1833.51</v>
      </c>
      <c r="O28" s="41"/>
      <c r="P28" s="42">
        <v>2.29</v>
      </c>
      <c r="S28" s="47">
        <v>20.37</v>
      </c>
      <c r="W28" s="9" t="s">
        <v>29</v>
      </c>
      <c r="X28" s="1">
        <f t="shared" si="9"/>
        <v>0</v>
      </c>
      <c r="Y28" s="1">
        <f t="shared" si="10"/>
        <v>0</v>
      </c>
      <c r="Z28" s="7">
        <f t="shared" si="11"/>
        <v>0</v>
      </c>
      <c r="AC28" s="27" t="s">
        <v>66</v>
      </c>
      <c r="AD28" s="16">
        <f>SUM(AD18:AD27)</f>
        <v>1</v>
      </c>
    </row>
    <row r="29" spans="1:41" x14ac:dyDescent="0.3">
      <c r="A29" s="44" t="s">
        <v>33</v>
      </c>
      <c r="D29" s="40">
        <v>69</v>
      </c>
      <c r="E29" s="41"/>
      <c r="F29" s="41"/>
      <c r="G29" s="41"/>
      <c r="H29" s="42">
        <v>170</v>
      </c>
      <c r="K29" s="41"/>
      <c r="L29" s="46">
        <v>1513.26</v>
      </c>
      <c r="O29" s="41"/>
      <c r="P29" s="42">
        <v>2.46</v>
      </c>
      <c r="S29" s="47">
        <v>21.93</v>
      </c>
      <c r="W29" s="9" t="s">
        <v>32</v>
      </c>
      <c r="X29" s="1">
        <f t="shared" si="9"/>
        <v>90</v>
      </c>
      <c r="Y29" s="1">
        <f t="shared" si="10"/>
        <v>206</v>
      </c>
      <c r="Z29" s="7">
        <f t="shared" si="11"/>
        <v>2.29</v>
      </c>
      <c r="AD29" s="3"/>
    </row>
    <row r="30" spans="1:41" x14ac:dyDescent="0.3">
      <c r="A30" s="44" t="s">
        <v>86</v>
      </c>
      <c r="D30" s="40">
        <v>88</v>
      </c>
      <c r="E30" s="41"/>
      <c r="F30" s="41"/>
      <c r="G30" s="41"/>
      <c r="H30" s="42">
        <v>199</v>
      </c>
      <c r="K30" s="41"/>
      <c r="L30" s="46">
        <v>1851.5</v>
      </c>
      <c r="O30" s="41"/>
      <c r="P30" s="42">
        <v>2.2599999999999998</v>
      </c>
      <c r="S30" s="47">
        <v>21.04</v>
      </c>
      <c r="W30" s="9" t="s">
        <v>17</v>
      </c>
      <c r="X30" s="1">
        <f t="shared" si="9"/>
        <v>0</v>
      </c>
      <c r="Y30" s="1">
        <f t="shared" si="10"/>
        <v>0</v>
      </c>
      <c r="Z30" s="7">
        <f t="shared" si="11"/>
        <v>0</v>
      </c>
      <c r="AC30" s="23" t="str">
        <f>W22</f>
        <v>Bonnie</v>
      </c>
      <c r="AD30" s="26" t="s">
        <v>58</v>
      </c>
      <c r="AG30" s="67" t="s">
        <v>92</v>
      </c>
      <c r="AH30" s="68"/>
    </row>
    <row r="31" spans="1:41" x14ac:dyDescent="0.3">
      <c r="A31" s="44" t="s">
        <v>34</v>
      </c>
      <c r="D31" s="40">
        <v>0</v>
      </c>
      <c r="E31" s="41"/>
      <c r="F31" s="41"/>
      <c r="G31" s="41"/>
      <c r="H31" s="42">
        <v>0</v>
      </c>
      <c r="K31" s="41"/>
      <c r="L31" s="42">
        <v>0</v>
      </c>
      <c r="O31" s="41"/>
      <c r="P31" s="42">
        <v>0</v>
      </c>
      <c r="S31" s="40">
        <v>0</v>
      </c>
      <c r="W31" s="9" t="s">
        <v>46</v>
      </c>
      <c r="X31" s="1">
        <f t="shared" si="9"/>
        <v>1</v>
      </c>
      <c r="Y31" s="1">
        <f t="shared" si="10"/>
        <v>4</v>
      </c>
      <c r="Z31" s="7">
        <f t="shared" si="11"/>
        <v>4</v>
      </c>
      <c r="AC31" s="9" t="str">
        <f>W25</f>
        <v>Zeller, Daniel</v>
      </c>
      <c r="AD31" s="14">
        <f t="shared" ref="AD31:AD40" si="12">IF(VLOOKUP(AC31,$W:$Z,2,FALSE)&gt;=100,
    IF(VLOOKUP(AC31,$W:$Z,4,FALSE)&gt;$AD$13,
        IF(VLOOKUP(AC31,$W:$Z,4,FALSE)&gt;=$AD$13+0.5,3,
            IF(VLOOKUP(AC31,$W:$Z,4,FALSE)&gt;=$AD$13+0.25,2,1)
        ),
    0),
0)</f>
        <v>0</v>
      </c>
      <c r="AG31" s="56" t="str">
        <f>W8</f>
        <v>Chica</v>
      </c>
      <c r="AH31" s="14">
        <v>0</v>
      </c>
    </row>
    <row r="32" spans="1:41" x14ac:dyDescent="0.3">
      <c r="A32" s="44" t="s">
        <v>35</v>
      </c>
      <c r="D32" s="40">
        <v>19</v>
      </c>
      <c r="E32" s="41"/>
      <c r="F32" s="41"/>
      <c r="G32" s="41"/>
      <c r="H32" s="42">
        <v>40</v>
      </c>
      <c r="K32" s="41"/>
      <c r="L32" s="46">
        <v>374.8</v>
      </c>
      <c r="O32" s="41"/>
      <c r="P32" s="42">
        <v>2.11</v>
      </c>
      <c r="S32" s="47">
        <v>19.73</v>
      </c>
      <c r="W32" s="9" t="s">
        <v>50</v>
      </c>
      <c r="X32" s="1">
        <f t="shared" si="9"/>
        <v>89</v>
      </c>
      <c r="Y32" s="1">
        <f t="shared" si="10"/>
        <v>205</v>
      </c>
      <c r="Z32" s="7">
        <f t="shared" si="11"/>
        <v>2.2999999999999998</v>
      </c>
      <c r="AC32" s="9" t="str">
        <f>W26</f>
        <v>Dick, Emilie</v>
      </c>
      <c r="AD32" s="14">
        <f t="shared" si="12"/>
        <v>2</v>
      </c>
      <c r="AG32" s="56" t="str">
        <f>W22</f>
        <v>Bonnie</v>
      </c>
      <c r="AH32" s="14">
        <f>IF(AD9&gt;AH24, 1,0)</f>
        <v>0</v>
      </c>
    </row>
    <row r="33" spans="1:34" x14ac:dyDescent="0.3">
      <c r="A33" s="44" t="s">
        <v>36</v>
      </c>
      <c r="D33" s="40">
        <v>0</v>
      </c>
      <c r="E33" s="41"/>
      <c r="F33" s="41"/>
      <c r="G33" s="41"/>
      <c r="H33" s="42">
        <v>0</v>
      </c>
      <c r="K33" s="41"/>
      <c r="L33" s="42">
        <v>0</v>
      </c>
      <c r="O33" s="41"/>
      <c r="P33" s="42">
        <v>0</v>
      </c>
      <c r="S33" s="40">
        <v>0</v>
      </c>
      <c r="W33" s="45" t="s">
        <v>110</v>
      </c>
      <c r="X33" s="1">
        <f t="shared" si="9"/>
        <v>0</v>
      </c>
      <c r="Y33" s="1">
        <f t="shared" si="10"/>
        <v>0</v>
      </c>
      <c r="Z33" s="7">
        <f t="shared" si="11"/>
        <v>0</v>
      </c>
      <c r="AC33" s="9" t="str">
        <f t="shared" ref="AC33:AC40" si="13">W27</f>
        <v>Farmer, Kasey</v>
      </c>
      <c r="AD33" s="14">
        <f t="shared" si="12"/>
        <v>0</v>
      </c>
      <c r="AG33" s="56" t="str">
        <f>W36</f>
        <v>Freddy</v>
      </c>
      <c r="AH33" s="14">
        <f>IF(AD10&gt;AH25, 1,0)</f>
        <v>0</v>
      </c>
    </row>
    <row r="34" spans="1:34" x14ac:dyDescent="0.3">
      <c r="A34" s="44" t="s">
        <v>82</v>
      </c>
      <c r="D34" s="40">
        <v>0</v>
      </c>
      <c r="E34" s="41"/>
      <c r="F34" s="41"/>
      <c r="G34" s="41"/>
      <c r="H34" s="42">
        <v>0</v>
      </c>
      <c r="K34" s="41"/>
      <c r="L34" s="42">
        <v>0</v>
      </c>
      <c r="O34" s="41"/>
      <c r="P34" s="42">
        <v>0</v>
      </c>
      <c r="S34" s="40">
        <v>0</v>
      </c>
      <c r="V34" s="1" t="s">
        <v>100</v>
      </c>
      <c r="W34" s="10" t="s">
        <v>17</v>
      </c>
      <c r="X34" s="11">
        <f t="shared" si="9"/>
        <v>0</v>
      </c>
      <c r="Y34" s="11">
        <f t="shared" si="10"/>
        <v>0</v>
      </c>
      <c r="Z34" s="12">
        <f t="shared" si="11"/>
        <v>0</v>
      </c>
      <c r="AC34" s="9" t="str">
        <f t="shared" si="13"/>
        <v>Gashu, Amanuel</v>
      </c>
      <c r="AD34" s="14">
        <f t="shared" si="12"/>
        <v>0</v>
      </c>
      <c r="AG34" s="56" t="str">
        <f>W50</f>
        <v>Balloon Boy</v>
      </c>
      <c r="AH34" s="14">
        <f t="shared" ref="AH34:AH35" si="14">IF(AD11&gt;AH26, 1,0)</f>
        <v>0</v>
      </c>
    </row>
    <row r="35" spans="1:34" x14ac:dyDescent="0.3">
      <c r="A35" s="44" t="s">
        <v>107</v>
      </c>
      <c r="D35" s="40">
        <v>136</v>
      </c>
      <c r="E35" s="41"/>
      <c r="F35" s="41"/>
      <c r="G35" s="41"/>
      <c r="H35" s="42">
        <v>344</v>
      </c>
      <c r="K35" s="41"/>
      <c r="L35" s="46">
        <v>3494.98</v>
      </c>
      <c r="O35" s="41"/>
      <c r="P35" s="42">
        <v>2.5299999999999998</v>
      </c>
      <c r="S35" s="47">
        <v>25.7</v>
      </c>
      <c r="AC35" s="9" t="str">
        <f t="shared" si="13"/>
        <v>Hatch, Aidan</v>
      </c>
      <c r="AD35" s="14">
        <f t="shared" si="12"/>
        <v>0</v>
      </c>
      <c r="AG35" s="57" t="str">
        <f>W64</f>
        <v>Foxy</v>
      </c>
      <c r="AH35" s="16">
        <f t="shared" si="14"/>
        <v>1</v>
      </c>
    </row>
    <row r="36" spans="1:34" x14ac:dyDescent="0.3">
      <c r="A36" s="44" t="s">
        <v>90</v>
      </c>
      <c r="D36" s="40">
        <v>7</v>
      </c>
      <c r="E36" s="41"/>
      <c r="F36" s="41"/>
      <c r="G36" s="41"/>
      <c r="H36" s="42">
        <v>15</v>
      </c>
      <c r="K36" s="41"/>
      <c r="L36" s="46">
        <v>141.66</v>
      </c>
      <c r="O36" s="41"/>
      <c r="P36" s="42">
        <v>2.14</v>
      </c>
      <c r="S36" s="47">
        <v>20.239999999999998</v>
      </c>
      <c r="W36" s="62" t="s">
        <v>80</v>
      </c>
      <c r="X36" s="64"/>
      <c r="Y36" s="28" t="s">
        <v>7</v>
      </c>
      <c r="Z36" s="4">
        <f>(SUM(Y39:Y48)/SUM(X39:X48))</f>
        <v>2.5585585585585586</v>
      </c>
      <c r="AC36" s="9" t="str">
        <f t="shared" si="13"/>
        <v>Admin, AMC</v>
      </c>
      <c r="AD36" s="14">
        <f t="shared" si="12"/>
        <v>0</v>
      </c>
    </row>
    <row r="37" spans="1:34" x14ac:dyDescent="0.3">
      <c r="A37" s="44" t="s">
        <v>37</v>
      </c>
      <c r="D37" s="40">
        <v>105</v>
      </c>
      <c r="E37" s="41"/>
      <c r="F37" s="41"/>
      <c r="G37" s="41"/>
      <c r="H37" s="42">
        <v>281</v>
      </c>
      <c r="K37" s="41"/>
      <c r="L37" s="46">
        <v>2643.87</v>
      </c>
      <c r="O37" s="41"/>
      <c r="P37" s="42">
        <v>2.68</v>
      </c>
      <c r="S37" s="47">
        <v>25.18</v>
      </c>
      <c r="W37" s="8"/>
      <c r="Z37" s="7"/>
      <c r="AC37" s="9" t="str">
        <f t="shared" si="13"/>
        <v>Ryder, Erin</v>
      </c>
      <c r="AD37" s="14">
        <f t="shared" si="12"/>
        <v>0</v>
      </c>
    </row>
    <row r="38" spans="1:34" x14ac:dyDescent="0.3">
      <c r="A38" s="44" t="s">
        <v>38</v>
      </c>
      <c r="D38" s="40">
        <v>0</v>
      </c>
      <c r="E38" s="41"/>
      <c r="F38" s="41"/>
      <c r="G38" s="41"/>
      <c r="H38" s="42">
        <v>0</v>
      </c>
      <c r="K38" s="41"/>
      <c r="L38" s="42">
        <v>0</v>
      </c>
      <c r="O38" s="41"/>
      <c r="P38" s="42">
        <v>0</v>
      </c>
      <c r="S38" s="40">
        <v>0</v>
      </c>
      <c r="U38" s="2"/>
      <c r="W38" s="8"/>
      <c r="X38" s="24" t="s">
        <v>52</v>
      </c>
      <c r="Y38" s="24" t="s">
        <v>13</v>
      </c>
      <c r="Z38" s="25" t="s">
        <v>7</v>
      </c>
      <c r="AC38" s="9" t="str">
        <f t="shared" si="13"/>
        <v>Yandle, Chuck</v>
      </c>
      <c r="AD38" s="14">
        <f t="shared" si="12"/>
        <v>0</v>
      </c>
    </row>
    <row r="39" spans="1:34" x14ac:dyDescent="0.3">
      <c r="A39" s="44" t="s">
        <v>39</v>
      </c>
      <c r="D39" s="40">
        <v>0</v>
      </c>
      <c r="E39" s="41"/>
      <c r="F39" s="41"/>
      <c r="G39" s="41"/>
      <c r="H39" s="42">
        <v>0</v>
      </c>
      <c r="K39" s="41"/>
      <c r="L39" s="42">
        <v>0</v>
      </c>
      <c r="O39" s="41"/>
      <c r="P39" s="42">
        <v>0</v>
      </c>
      <c r="S39" s="40">
        <v>0</v>
      </c>
      <c r="W39" s="9" t="s">
        <v>25</v>
      </c>
      <c r="X39" s="1">
        <f>VLOOKUP(W39,$A$12:$S$60, 4,FALSE)</f>
        <v>40</v>
      </c>
      <c r="Y39" s="1">
        <f>VLOOKUP(W39,$A$12:$S$60, 8,FALSE)</f>
        <v>115</v>
      </c>
      <c r="Z39" s="7">
        <f>VLOOKUP(W39,$A$12:$S$60, 16,FALSE)</f>
        <v>2.88</v>
      </c>
      <c r="AC39" s="9" t="str">
        <f t="shared" si="13"/>
        <v>Way, Abby</v>
      </c>
      <c r="AD39" s="14">
        <f t="shared" si="12"/>
        <v>0</v>
      </c>
    </row>
    <row r="40" spans="1:34" x14ac:dyDescent="0.3">
      <c r="A40" s="44" t="s">
        <v>40</v>
      </c>
      <c r="D40" s="40">
        <v>43</v>
      </c>
      <c r="E40" s="41"/>
      <c r="F40" s="41"/>
      <c r="G40" s="41"/>
      <c r="H40" s="42">
        <v>86</v>
      </c>
      <c r="K40" s="41"/>
      <c r="L40" s="46">
        <v>800.7</v>
      </c>
      <c r="O40" s="41"/>
      <c r="P40" s="42">
        <v>2</v>
      </c>
      <c r="S40" s="47">
        <v>18.62</v>
      </c>
      <c r="W40" s="45" t="s">
        <v>20</v>
      </c>
      <c r="X40" s="1">
        <f t="shared" ref="X40:X48" si="15">VLOOKUP(W40,$A$12:$S$60, 4,FALSE)</f>
        <v>88</v>
      </c>
      <c r="Y40" s="1">
        <f t="shared" ref="Y40:Y48" si="16">VLOOKUP(W40,$A$12:$S$60, 8,FALSE)</f>
        <v>223</v>
      </c>
      <c r="Z40" s="7">
        <f t="shared" ref="Z40:Z48" si="17">VLOOKUP(W40,$A$12:$S$60, 16,FALSE)</f>
        <v>2.5299999999999998</v>
      </c>
      <c r="AC40" s="9" t="str">
        <f t="shared" si="13"/>
        <v>Admin, AMC</v>
      </c>
      <c r="AD40" s="14">
        <f t="shared" si="12"/>
        <v>0</v>
      </c>
    </row>
    <row r="41" spans="1:34" x14ac:dyDescent="0.3">
      <c r="A41" s="44" t="s">
        <v>109</v>
      </c>
      <c r="D41" s="40">
        <v>57</v>
      </c>
      <c r="E41" s="41"/>
      <c r="F41" s="41"/>
      <c r="G41" s="41"/>
      <c r="H41" s="42">
        <v>115</v>
      </c>
      <c r="K41" s="41"/>
      <c r="L41" s="46">
        <v>1026.75</v>
      </c>
      <c r="O41" s="41"/>
      <c r="P41" s="42">
        <v>2.02</v>
      </c>
      <c r="S41" s="47">
        <v>18.010000000000002</v>
      </c>
      <c r="W41" s="9" t="s">
        <v>24</v>
      </c>
      <c r="X41" s="1">
        <f t="shared" si="15"/>
        <v>0</v>
      </c>
      <c r="Y41" s="1">
        <f t="shared" si="16"/>
        <v>0</v>
      </c>
      <c r="Z41" s="7">
        <f t="shared" si="17"/>
        <v>0</v>
      </c>
      <c r="AC41" s="27" t="s">
        <v>66</v>
      </c>
      <c r="AD41" s="16">
        <f>SUM(AD31:AD40)</f>
        <v>2</v>
      </c>
    </row>
    <row r="42" spans="1:34" x14ac:dyDescent="0.3">
      <c r="A42" s="44" t="s">
        <v>42</v>
      </c>
      <c r="D42" s="40">
        <v>163</v>
      </c>
      <c r="E42" s="41"/>
      <c r="F42" s="41"/>
      <c r="G42" s="41"/>
      <c r="H42" s="42">
        <v>405</v>
      </c>
      <c r="K42" s="41"/>
      <c r="L42" s="46">
        <v>3723.14</v>
      </c>
      <c r="O42" s="41"/>
      <c r="P42" s="42">
        <v>2.48</v>
      </c>
      <c r="S42" s="47">
        <v>22.84</v>
      </c>
      <c r="W42" s="9" t="s">
        <v>33</v>
      </c>
      <c r="X42" s="1">
        <f t="shared" si="15"/>
        <v>69</v>
      </c>
      <c r="Y42" s="1">
        <f t="shared" si="16"/>
        <v>170</v>
      </c>
      <c r="Z42" s="7">
        <f t="shared" si="17"/>
        <v>2.46</v>
      </c>
      <c r="AD42" s="3"/>
    </row>
    <row r="43" spans="1:34" x14ac:dyDescent="0.3">
      <c r="A43" s="44" t="s">
        <v>43</v>
      </c>
      <c r="D43" s="40">
        <v>6</v>
      </c>
      <c r="E43" s="41"/>
      <c r="F43" s="41"/>
      <c r="G43" s="41"/>
      <c r="H43" s="42">
        <v>12</v>
      </c>
      <c r="K43" s="41"/>
      <c r="L43" s="46">
        <v>108.98</v>
      </c>
      <c r="O43" s="41"/>
      <c r="P43" s="42">
        <v>2</v>
      </c>
      <c r="S43" s="47">
        <v>18.16</v>
      </c>
      <c r="W43" s="45" t="s">
        <v>36</v>
      </c>
      <c r="X43" s="1">
        <f t="shared" si="15"/>
        <v>0</v>
      </c>
      <c r="Y43" s="1">
        <f t="shared" si="16"/>
        <v>0</v>
      </c>
      <c r="Z43" s="7">
        <f t="shared" si="17"/>
        <v>0</v>
      </c>
      <c r="AC43" s="23" t="str">
        <f>W36</f>
        <v>Freddy</v>
      </c>
      <c r="AD43" s="26" t="s">
        <v>58</v>
      </c>
    </row>
    <row r="44" spans="1:34" x14ac:dyDescent="0.3">
      <c r="A44" s="44" t="s">
        <v>44</v>
      </c>
      <c r="D44" s="40">
        <v>0</v>
      </c>
      <c r="E44" s="41"/>
      <c r="F44" s="41"/>
      <c r="G44" s="41"/>
      <c r="H44" s="42">
        <v>0</v>
      </c>
      <c r="K44" s="41"/>
      <c r="L44" s="42">
        <v>0</v>
      </c>
      <c r="O44" s="41"/>
      <c r="P44" s="42">
        <v>0</v>
      </c>
      <c r="S44" s="40">
        <v>0</v>
      </c>
      <c r="W44" s="45" t="s">
        <v>48</v>
      </c>
      <c r="X44" s="1">
        <f t="shared" si="15"/>
        <v>0</v>
      </c>
      <c r="Y44" s="1">
        <f t="shared" si="16"/>
        <v>0</v>
      </c>
      <c r="Z44" s="7">
        <f t="shared" si="17"/>
        <v>0</v>
      </c>
      <c r="AC44" s="9" t="str">
        <f>W39</f>
        <v>DaPra, Kylan</v>
      </c>
      <c r="AD44" s="14">
        <f t="shared" ref="AD44:AD53" si="18">IF(VLOOKUP(AC44,$W:$Z,2,FALSE)&gt;=100,
    IF(VLOOKUP(AC44,$W:$Z,4,FALSE)&gt;$AD$13,
        IF(VLOOKUP(AC44,$W:$Z,4,FALSE)&gt;=$AD$13+0.5,3,
            IF(VLOOKUP(AC44,$W:$Z,4,FALSE)&gt;=$AD$13+0.25,2,1)
        ),
    0),
0)</f>
        <v>0</v>
      </c>
    </row>
    <row r="45" spans="1:34" x14ac:dyDescent="0.3">
      <c r="A45" s="44" t="s">
        <v>104</v>
      </c>
      <c r="D45" s="40">
        <v>25</v>
      </c>
      <c r="E45" s="41"/>
      <c r="F45" s="41"/>
      <c r="G45" s="41"/>
      <c r="H45" s="42">
        <v>62</v>
      </c>
      <c r="K45" s="41"/>
      <c r="L45" s="46">
        <v>577.03</v>
      </c>
      <c r="O45" s="41"/>
      <c r="P45" s="42">
        <v>2.48</v>
      </c>
      <c r="S45" s="47">
        <v>23.08</v>
      </c>
      <c r="V45" s="1" t="s">
        <v>96</v>
      </c>
      <c r="W45" s="45" t="s">
        <v>107</v>
      </c>
      <c r="X45" s="1">
        <f t="shared" si="15"/>
        <v>136</v>
      </c>
      <c r="Y45" s="1">
        <f t="shared" si="16"/>
        <v>344</v>
      </c>
      <c r="Z45" s="7">
        <f t="shared" si="17"/>
        <v>2.5299999999999998</v>
      </c>
      <c r="AC45" s="9" t="str">
        <f>W40</f>
        <v xml:space="preserve">Albert, Rowan </v>
      </c>
      <c r="AD45" s="14">
        <f t="shared" si="18"/>
        <v>0</v>
      </c>
    </row>
    <row r="46" spans="1:34" x14ac:dyDescent="0.3">
      <c r="A46" s="44" t="s">
        <v>45</v>
      </c>
      <c r="D46" s="40">
        <v>132</v>
      </c>
      <c r="E46" s="41"/>
      <c r="F46" s="41"/>
      <c r="G46" s="41"/>
      <c r="H46" s="42">
        <v>330</v>
      </c>
      <c r="K46" s="41"/>
      <c r="L46" s="46">
        <v>3036.91</v>
      </c>
      <c r="O46" s="41"/>
      <c r="P46" s="42">
        <v>2.5</v>
      </c>
      <c r="S46" s="47">
        <v>23.01</v>
      </c>
      <c r="V46" s="1" t="s">
        <v>94</v>
      </c>
      <c r="W46" s="9" t="s">
        <v>17</v>
      </c>
      <c r="X46" s="1">
        <f t="shared" si="15"/>
        <v>0</v>
      </c>
      <c r="Y46" s="1">
        <f t="shared" si="16"/>
        <v>0</v>
      </c>
      <c r="Z46" s="7">
        <f t="shared" si="17"/>
        <v>0</v>
      </c>
      <c r="AC46" s="9" t="str">
        <f t="shared" ref="AC46:AC53" si="19">W41</f>
        <v>Cloud, Annette</v>
      </c>
      <c r="AD46" s="14">
        <f t="shared" si="18"/>
        <v>0</v>
      </c>
    </row>
    <row r="47" spans="1:34" x14ac:dyDescent="0.3">
      <c r="A47" s="44" t="s">
        <v>46</v>
      </c>
      <c r="D47" s="40">
        <v>1</v>
      </c>
      <c r="E47" s="41"/>
      <c r="F47" s="41"/>
      <c r="G47" s="41"/>
      <c r="H47" s="42">
        <v>4</v>
      </c>
      <c r="K47" s="41"/>
      <c r="L47" s="46">
        <v>42.05</v>
      </c>
      <c r="O47" s="41"/>
      <c r="P47" s="42">
        <v>4</v>
      </c>
      <c r="S47" s="47">
        <v>42.05</v>
      </c>
      <c r="V47" s="1" t="s">
        <v>95</v>
      </c>
      <c r="W47" s="9" t="s">
        <v>17</v>
      </c>
      <c r="X47" s="1">
        <f t="shared" si="15"/>
        <v>0</v>
      </c>
      <c r="Y47" s="1">
        <f t="shared" si="16"/>
        <v>0</v>
      </c>
      <c r="Z47" s="7">
        <f t="shared" si="17"/>
        <v>0</v>
      </c>
      <c r="AC47" s="9" t="str">
        <f t="shared" si="19"/>
        <v>Hill, Gabby</v>
      </c>
      <c r="AD47" s="14">
        <f t="shared" si="18"/>
        <v>0</v>
      </c>
    </row>
    <row r="48" spans="1:34" x14ac:dyDescent="0.3">
      <c r="A48" s="44" t="s">
        <v>105</v>
      </c>
      <c r="D48" s="40">
        <v>0</v>
      </c>
      <c r="E48" s="41"/>
      <c r="F48" s="41"/>
      <c r="G48" s="41"/>
      <c r="H48" s="42">
        <v>0</v>
      </c>
      <c r="K48" s="41"/>
      <c r="L48" s="42">
        <v>0</v>
      </c>
      <c r="O48" s="41"/>
      <c r="P48" s="42">
        <v>0</v>
      </c>
      <c r="S48" s="40">
        <v>0</v>
      </c>
      <c r="W48" s="10" t="s">
        <v>17</v>
      </c>
      <c r="X48" s="11">
        <f t="shared" si="15"/>
        <v>0</v>
      </c>
      <c r="Y48" s="11">
        <f t="shared" si="16"/>
        <v>0</v>
      </c>
      <c r="Z48" s="12">
        <f t="shared" si="17"/>
        <v>0</v>
      </c>
      <c r="AC48" s="9" t="str">
        <f t="shared" si="19"/>
        <v>Koessler, Bayley</v>
      </c>
      <c r="AD48" s="14">
        <f t="shared" si="18"/>
        <v>0</v>
      </c>
    </row>
    <row r="49" spans="1:30" x14ac:dyDescent="0.3">
      <c r="A49" s="44" t="s">
        <v>47</v>
      </c>
      <c r="D49" s="40">
        <v>227</v>
      </c>
      <c r="E49" s="41"/>
      <c r="F49" s="41"/>
      <c r="G49" s="41"/>
      <c r="H49" s="42">
        <v>559</v>
      </c>
      <c r="K49" s="41"/>
      <c r="L49" s="46">
        <v>5174.96</v>
      </c>
      <c r="O49" s="41"/>
      <c r="P49" s="42">
        <v>2.46</v>
      </c>
      <c r="S49" s="47">
        <v>22.8</v>
      </c>
      <c r="AC49" s="9" t="str">
        <f t="shared" si="19"/>
        <v>Wetsit, Karlos</v>
      </c>
      <c r="AD49" s="14">
        <f t="shared" si="18"/>
        <v>0</v>
      </c>
    </row>
    <row r="50" spans="1:30" x14ac:dyDescent="0.3">
      <c r="A50" s="44" t="s">
        <v>76</v>
      </c>
      <c r="D50" s="40">
        <v>62</v>
      </c>
      <c r="E50" s="41"/>
      <c r="F50" s="41"/>
      <c r="G50" s="41"/>
      <c r="H50" s="42">
        <v>161</v>
      </c>
      <c r="K50" s="41"/>
      <c r="L50" s="46">
        <v>1512.06</v>
      </c>
      <c r="O50" s="41"/>
      <c r="P50" s="42">
        <v>2.6</v>
      </c>
      <c r="S50" s="47">
        <v>24.39</v>
      </c>
      <c r="W50" s="62" t="s">
        <v>93</v>
      </c>
      <c r="X50" s="64"/>
      <c r="Y50" s="28" t="s">
        <v>7</v>
      </c>
      <c r="Z50" s="4">
        <f>(SUM(Y53:Y62)/SUM(X53:X62))</f>
        <v>2.4479553903345725</v>
      </c>
      <c r="AC50" s="9" t="str">
        <f t="shared" si="19"/>
        <v>Lawson, Nick</v>
      </c>
      <c r="AD50" s="14">
        <f t="shared" si="18"/>
        <v>1</v>
      </c>
    </row>
    <row r="51" spans="1:30" x14ac:dyDescent="0.3">
      <c r="A51" s="44" t="s">
        <v>84</v>
      </c>
      <c r="D51" s="40">
        <v>37</v>
      </c>
      <c r="E51" s="41"/>
      <c r="F51" s="41"/>
      <c r="G51" s="41"/>
      <c r="H51" s="42">
        <v>92</v>
      </c>
      <c r="K51" s="41"/>
      <c r="L51" s="46">
        <v>809.82</v>
      </c>
      <c r="O51" s="41"/>
      <c r="P51" s="42">
        <v>2.4900000000000002</v>
      </c>
      <c r="S51" s="47">
        <v>21.89</v>
      </c>
      <c r="W51" s="8"/>
      <c r="Z51" s="7"/>
      <c r="AC51" s="9" t="str">
        <f t="shared" si="19"/>
        <v>Admin, AMC</v>
      </c>
      <c r="AD51" s="14">
        <f t="shared" si="18"/>
        <v>0</v>
      </c>
    </row>
    <row r="52" spans="1:30" x14ac:dyDescent="0.3">
      <c r="A52" s="44" t="s">
        <v>74</v>
      </c>
      <c r="D52" s="40">
        <v>19</v>
      </c>
      <c r="E52" s="41"/>
      <c r="F52" s="41"/>
      <c r="G52" s="41"/>
      <c r="H52" s="42">
        <v>53</v>
      </c>
      <c r="K52" s="41"/>
      <c r="L52" s="46">
        <v>493.21</v>
      </c>
      <c r="O52" s="41"/>
      <c r="P52" s="42">
        <v>2.79</v>
      </c>
      <c r="S52" s="47">
        <v>25.96</v>
      </c>
      <c r="W52" s="8"/>
      <c r="X52" s="24" t="s">
        <v>52</v>
      </c>
      <c r="Y52" s="24" t="s">
        <v>13</v>
      </c>
      <c r="Z52" s="25" t="s">
        <v>7</v>
      </c>
      <c r="AC52" s="9" t="str">
        <f t="shared" si="19"/>
        <v>Admin, AMC</v>
      </c>
      <c r="AD52" s="14">
        <f t="shared" si="18"/>
        <v>0</v>
      </c>
    </row>
    <row r="53" spans="1:30" x14ac:dyDescent="0.3">
      <c r="A53" s="44" t="s">
        <v>110</v>
      </c>
      <c r="D53" s="40">
        <v>0</v>
      </c>
      <c r="E53" s="41"/>
      <c r="F53" s="41"/>
      <c r="G53" s="41"/>
      <c r="H53" s="42">
        <v>0</v>
      </c>
      <c r="K53" s="41"/>
      <c r="L53" s="42">
        <v>0</v>
      </c>
      <c r="O53" s="41"/>
      <c r="P53" s="42">
        <v>0</v>
      </c>
      <c r="S53" s="40">
        <v>0</v>
      </c>
      <c r="W53" s="9" t="s">
        <v>35</v>
      </c>
      <c r="X53" s="1">
        <f>VLOOKUP(W53,$A$12:$S$60, 4,FALSE)</f>
        <v>19</v>
      </c>
      <c r="Y53" s="1">
        <f>VLOOKUP(W53,$A$12:$S$60, 8,FALSE)</f>
        <v>40</v>
      </c>
      <c r="Z53" s="7">
        <f>VLOOKUP(W53,$A$12:$S$60, 16,FALSE)</f>
        <v>2.11</v>
      </c>
      <c r="AC53" s="9" t="str">
        <f t="shared" si="19"/>
        <v>Admin, AMC</v>
      </c>
      <c r="AD53" s="14">
        <f t="shared" si="18"/>
        <v>0</v>
      </c>
    </row>
    <row r="54" spans="1:30" x14ac:dyDescent="0.3">
      <c r="A54" s="44" t="s">
        <v>48</v>
      </c>
      <c r="D54" s="40">
        <v>0</v>
      </c>
      <c r="E54" s="41"/>
      <c r="F54" s="41"/>
      <c r="G54" s="41"/>
      <c r="H54" s="42">
        <v>0</v>
      </c>
      <c r="K54" s="41"/>
      <c r="L54" s="42">
        <v>0</v>
      </c>
      <c r="O54" s="41"/>
      <c r="P54" s="42">
        <v>0</v>
      </c>
      <c r="S54" s="40">
        <v>0</v>
      </c>
      <c r="W54" s="45" t="s">
        <v>86</v>
      </c>
      <c r="X54" s="1">
        <f t="shared" ref="X54:X62" si="20">VLOOKUP(W54,$A$12:$S$60, 4,FALSE)</f>
        <v>88</v>
      </c>
      <c r="Y54" s="1">
        <f t="shared" ref="Y54:Y62" si="21">VLOOKUP(W54,$A$12:$S$60, 8,FALSE)</f>
        <v>199</v>
      </c>
      <c r="Z54" s="7">
        <f t="shared" ref="Z54:Z62" si="22">VLOOKUP(W54,$A$12:$S$60, 16,FALSE)</f>
        <v>2.2599999999999998</v>
      </c>
      <c r="AC54" s="27" t="s">
        <v>66</v>
      </c>
      <c r="AD54" s="16">
        <f>SUM(AD44:AD53)</f>
        <v>1</v>
      </c>
    </row>
    <row r="55" spans="1:30" x14ac:dyDescent="0.3">
      <c r="A55" s="44" t="s">
        <v>49</v>
      </c>
      <c r="D55" s="40">
        <v>67</v>
      </c>
      <c r="E55" s="41"/>
      <c r="F55" s="41"/>
      <c r="G55" s="41"/>
      <c r="H55" s="42">
        <v>186</v>
      </c>
      <c r="K55" s="41"/>
      <c r="L55" s="46">
        <v>1683.27</v>
      </c>
      <c r="O55" s="41"/>
      <c r="P55" s="42">
        <v>2.78</v>
      </c>
      <c r="S55" s="47">
        <v>25.12</v>
      </c>
      <c r="W55" s="45" t="s">
        <v>90</v>
      </c>
      <c r="X55" s="1">
        <f t="shared" si="20"/>
        <v>7</v>
      </c>
      <c r="Y55" s="1">
        <f t="shared" si="21"/>
        <v>15</v>
      </c>
      <c r="Z55" s="7">
        <f t="shared" si="22"/>
        <v>2.14</v>
      </c>
      <c r="AD55" s="3"/>
    </row>
    <row r="56" spans="1:30" x14ac:dyDescent="0.3">
      <c r="A56" s="44" t="s">
        <v>50</v>
      </c>
      <c r="D56" s="40">
        <v>89</v>
      </c>
      <c r="E56" s="41"/>
      <c r="F56" s="41"/>
      <c r="G56" s="41"/>
      <c r="H56" s="42">
        <v>205</v>
      </c>
      <c r="K56" s="41"/>
      <c r="L56" s="46">
        <v>1924.94</v>
      </c>
      <c r="O56" s="41"/>
      <c r="P56" s="42">
        <v>2.2999999999999998</v>
      </c>
      <c r="S56" s="47">
        <v>21.63</v>
      </c>
      <c r="W56" s="45" t="s">
        <v>40</v>
      </c>
      <c r="X56" s="1">
        <f>VLOOKUP(W56,$A$12:$S$60, 4,FALSE)</f>
        <v>43</v>
      </c>
      <c r="Y56" s="1">
        <f t="shared" si="21"/>
        <v>86</v>
      </c>
      <c r="Z56" s="7">
        <f t="shared" si="22"/>
        <v>2</v>
      </c>
      <c r="AC56" s="23" t="str">
        <f>W50</f>
        <v>Balloon Boy</v>
      </c>
      <c r="AD56" s="26" t="s">
        <v>58</v>
      </c>
    </row>
    <row r="57" spans="1:30" x14ac:dyDescent="0.3">
      <c r="A57" s="44" t="s">
        <v>51</v>
      </c>
      <c r="D57" s="40">
        <v>34</v>
      </c>
      <c r="E57" s="41"/>
      <c r="F57" s="41"/>
      <c r="G57" s="41"/>
      <c r="H57" s="42">
        <v>89</v>
      </c>
      <c r="K57" s="41"/>
      <c r="L57" s="46">
        <v>830.07</v>
      </c>
      <c r="O57" s="41"/>
      <c r="P57" s="42">
        <v>2.62</v>
      </c>
      <c r="S57" s="47">
        <v>24.41</v>
      </c>
      <c r="W57" s="45" t="s">
        <v>45</v>
      </c>
      <c r="X57" s="1">
        <f t="shared" si="20"/>
        <v>132</v>
      </c>
      <c r="Y57" s="1">
        <f t="shared" si="21"/>
        <v>330</v>
      </c>
      <c r="Z57" s="7">
        <f t="shared" si="22"/>
        <v>2.5</v>
      </c>
      <c r="AC57" s="9" t="str">
        <f>W53</f>
        <v>Kelly, Ryan</v>
      </c>
      <c r="AD57" s="14">
        <f t="shared" ref="AD57:AD65" si="23">IF(VLOOKUP(AC57,$W:$Z,2,FALSE)&gt;=100,
    IF(VLOOKUP(AC57,$W:$Z,4,FALSE)&gt;$AD$13,
        IF(VLOOKUP(AC57,$W:$Z,4,FALSE)&gt;=$AD$13+0.5,3,
            IF(VLOOKUP(AC57,$W:$Z,4,FALSE)&gt;=$AD$13+0.25,2,1)
        ),
    0),
0)</f>
        <v>0</v>
      </c>
    </row>
    <row r="58" spans="1:30" x14ac:dyDescent="0.3">
      <c r="A58" s="44" t="s">
        <v>77</v>
      </c>
      <c r="D58" s="40">
        <v>66</v>
      </c>
      <c r="E58" s="41"/>
      <c r="F58" s="41"/>
      <c r="G58" s="41"/>
      <c r="H58" s="42">
        <v>172</v>
      </c>
      <c r="K58" s="41"/>
      <c r="L58" s="46">
        <v>1520.48</v>
      </c>
      <c r="O58" s="41"/>
      <c r="P58" s="42">
        <v>2.61</v>
      </c>
      <c r="S58" s="47">
        <v>23.04</v>
      </c>
      <c r="V58" s="2"/>
      <c r="W58" s="45" t="s">
        <v>76</v>
      </c>
      <c r="X58" s="1">
        <f t="shared" si="20"/>
        <v>62</v>
      </c>
      <c r="Y58" s="1">
        <f t="shared" si="21"/>
        <v>161</v>
      </c>
      <c r="Z58" s="7">
        <f t="shared" si="22"/>
        <v>2.6</v>
      </c>
      <c r="AC58" s="9" t="str">
        <f>W54</f>
        <v>Isreal, Zeal</v>
      </c>
      <c r="AD58" s="14">
        <f t="shared" si="23"/>
        <v>0</v>
      </c>
    </row>
    <row r="59" spans="1:30" x14ac:dyDescent="0.3">
      <c r="W59" s="45" t="s">
        <v>84</v>
      </c>
      <c r="X59" s="1">
        <f t="shared" si="20"/>
        <v>37</v>
      </c>
      <c r="Y59" s="1">
        <f t="shared" si="21"/>
        <v>92</v>
      </c>
      <c r="Z59" s="7">
        <f t="shared" si="22"/>
        <v>2.4900000000000002</v>
      </c>
      <c r="AC59" s="9" t="str">
        <f t="shared" ref="AC59:AC62" si="24">W55</f>
        <v>Lingg, Beckett</v>
      </c>
      <c r="AD59" s="14">
        <f t="shared" si="23"/>
        <v>0</v>
      </c>
    </row>
    <row r="60" spans="1:30" x14ac:dyDescent="0.3">
      <c r="W60" s="45" t="s">
        <v>77</v>
      </c>
      <c r="X60" s="1">
        <f t="shared" si="20"/>
        <v>66</v>
      </c>
      <c r="Y60" s="1">
        <f t="shared" si="21"/>
        <v>172</v>
      </c>
      <c r="Z60" s="7">
        <f t="shared" si="22"/>
        <v>2.61</v>
      </c>
      <c r="AC60" s="9" t="str">
        <f t="shared" si="24"/>
        <v>McChesney, Jack</v>
      </c>
      <c r="AD60" s="14">
        <f t="shared" si="23"/>
        <v>0</v>
      </c>
    </row>
    <row r="61" spans="1:30" x14ac:dyDescent="0.3">
      <c r="V61" s="1" t="s">
        <v>97</v>
      </c>
      <c r="W61" s="45" t="s">
        <v>105</v>
      </c>
      <c r="X61" s="1">
        <f t="shared" si="20"/>
        <v>0</v>
      </c>
      <c r="Y61" s="1">
        <f t="shared" si="21"/>
        <v>0</v>
      </c>
      <c r="Z61" s="7">
        <f t="shared" si="22"/>
        <v>0</v>
      </c>
      <c r="AC61" s="9" t="str">
        <f t="shared" si="24"/>
        <v>Perez-Tellez, Damien</v>
      </c>
      <c r="AD61" s="14">
        <f t="shared" si="23"/>
        <v>1</v>
      </c>
    </row>
    <row r="62" spans="1:30" x14ac:dyDescent="0.3">
      <c r="W62" s="61" t="s">
        <v>108</v>
      </c>
      <c r="X62" s="11">
        <f t="shared" si="20"/>
        <v>84</v>
      </c>
      <c r="Y62" s="11">
        <f t="shared" si="21"/>
        <v>222</v>
      </c>
      <c r="Z62" s="12">
        <f t="shared" si="22"/>
        <v>2.64</v>
      </c>
      <c r="AC62" s="9" t="str">
        <f t="shared" si="24"/>
        <v>Shteyngart, Jenna</v>
      </c>
      <c r="AD62" s="14">
        <f t="shared" si="23"/>
        <v>0</v>
      </c>
    </row>
    <row r="63" spans="1:30" x14ac:dyDescent="0.3">
      <c r="AC63" s="9" t="str">
        <f>W59</f>
        <v>Smith, Anders</v>
      </c>
      <c r="AD63" s="14">
        <f t="shared" si="23"/>
        <v>0</v>
      </c>
    </row>
    <row r="64" spans="1:30" x14ac:dyDescent="0.3">
      <c r="W64" s="62" t="s">
        <v>81</v>
      </c>
      <c r="X64" s="64"/>
      <c r="Y64" s="28" t="s">
        <v>7</v>
      </c>
      <c r="Z64" s="4">
        <f>(SUM(Y67:Y75)/SUM(X67:X75))</f>
        <v>2.4080944350758853</v>
      </c>
      <c r="AC64" s="9" t="str">
        <f>W60</f>
        <v>Zinn Krulewitch, Mari</v>
      </c>
      <c r="AD64" s="14">
        <f t="shared" si="23"/>
        <v>0</v>
      </c>
    </row>
    <row r="65" spans="22:30" x14ac:dyDescent="0.3">
      <c r="W65" s="5"/>
      <c r="X65" s="6"/>
      <c r="Z65" s="7"/>
      <c r="AC65" s="9" t="str">
        <f>W62</f>
        <v>Carpenter, Iris</v>
      </c>
      <c r="AD65" s="14">
        <f t="shared" si="23"/>
        <v>0</v>
      </c>
    </row>
    <row r="66" spans="22:30" x14ac:dyDescent="0.3">
      <c r="W66" s="8"/>
      <c r="X66" s="24" t="s">
        <v>52</v>
      </c>
      <c r="Y66" s="24" t="s">
        <v>13</v>
      </c>
      <c r="Z66" s="25" t="s">
        <v>7</v>
      </c>
      <c r="AC66" s="27" t="s">
        <v>66</v>
      </c>
      <c r="AD66" s="16">
        <f>SUM(AD57:AD65)</f>
        <v>1</v>
      </c>
    </row>
    <row r="67" spans="22:30" x14ac:dyDescent="0.3">
      <c r="W67" s="45" t="s">
        <v>42</v>
      </c>
      <c r="X67" s="1">
        <f>VLOOKUP(W67,$A$12:$S$60, 4,FALSE)</f>
        <v>163</v>
      </c>
      <c r="Y67" s="1">
        <f>VLOOKUP(W67,$A$12:$S$60, 8,FALSE)</f>
        <v>405</v>
      </c>
      <c r="Z67" s="7">
        <f>VLOOKUP(W67,$A$12:$S$60, 16,FALSE)</f>
        <v>2.48</v>
      </c>
      <c r="AD67" s="3"/>
    </row>
    <row r="68" spans="22:30" x14ac:dyDescent="0.3">
      <c r="W68" s="45" t="s">
        <v>21</v>
      </c>
      <c r="X68" s="1">
        <f t="shared" ref="X68:X75" si="25">VLOOKUP(W68,$A$12:$S$60, 4,FALSE)</f>
        <v>79</v>
      </c>
      <c r="Y68" s="1">
        <f t="shared" ref="Y68:Y75" si="26">VLOOKUP(W68,$A$12:$S$60, 8,FALSE)</f>
        <v>163</v>
      </c>
      <c r="Z68" s="7">
        <f t="shared" ref="Z68:Z75" si="27">VLOOKUP(W68,$A$12:$S$60, 16,FALSE)</f>
        <v>2.06</v>
      </c>
      <c r="AC68" s="23" t="str">
        <f>W64</f>
        <v>Foxy</v>
      </c>
      <c r="AD68" s="26" t="s">
        <v>58</v>
      </c>
    </row>
    <row r="69" spans="22:30" x14ac:dyDescent="0.3">
      <c r="W69" s="9" t="s">
        <v>26</v>
      </c>
      <c r="X69" s="1">
        <f t="shared" si="25"/>
        <v>0</v>
      </c>
      <c r="Y69" s="1">
        <f t="shared" si="26"/>
        <v>0</v>
      </c>
      <c r="Z69" s="7">
        <f t="shared" si="27"/>
        <v>0</v>
      </c>
      <c r="AC69" s="9" t="str">
        <f>W67</f>
        <v>Mitchell, Gabe</v>
      </c>
      <c r="AD69" s="14">
        <f t="shared" ref="AD69:AD77" si="28">IF(VLOOKUP(AC69,$W:$Z,2,FALSE)&gt;=100,
    IF(VLOOKUP(AC69,$W:$Z,4,FALSE)&gt;$AD$13,
        IF(VLOOKUP(AC69,$W:$Z,4,FALSE)&gt;=$AD$13+0.5,3,
            IF(VLOOKUP(AC69,$W:$Z,4,FALSE)&gt;=$AD$13+0.25,2,1)
        ),
    0),
0)</f>
        <v>1</v>
      </c>
    </row>
    <row r="70" spans="22:30" x14ac:dyDescent="0.3">
      <c r="W70" s="45" t="s">
        <v>82</v>
      </c>
      <c r="X70" s="1">
        <f t="shared" si="25"/>
        <v>0</v>
      </c>
      <c r="Y70" s="1">
        <f t="shared" si="26"/>
        <v>0</v>
      </c>
      <c r="Z70" s="7">
        <f t="shared" si="27"/>
        <v>0</v>
      </c>
      <c r="AC70" s="9" t="str">
        <f>W68</f>
        <v>Alemayehu, Eyouel</v>
      </c>
      <c r="AD70" s="14">
        <f t="shared" si="28"/>
        <v>0</v>
      </c>
    </row>
    <row r="71" spans="22:30" x14ac:dyDescent="0.3">
      <c r="W71" s="9" t="s">
        <v>38</v>
      </c>
      <c r="X71" s="1">
        <f t="shared" si="25"/>
        <v>0</v>
      </c>
      <c r="Y71" s="1">
        <f t="shared" si="26"/>
        <v>0</v>
      </c>
      <c r="Z71" s="7">
        <f t="shared" si="27"/>
        <v>0</v>
      </c>
      <c r="AC71" s="9" t="str">
        <f t="shared" ref="AC71:AC77" si="29">W69</f>
        <v>Delelu, Samra</v>
      </c>
      <c r="AD71" s="14">
        <f t="shared" si="28"/>
        <v>0</v>
      </c>
    </row>
    <row r="72" spans="22:30" x14ac:dyDescent="0.3">
      <c r="W72" s="9" t="s">
        <v>47</v>
      </c>
      <c r="X72" s="1">
        <f t="shared" si="25"/>
        <v>227</v>
      </c>
      <c r="Y72" s="1">
        <f t="shared" si="26"/>
        <v>559</v>
      </c>
      <c r="Z72" s="7">
        <f t="shared" si="27"/>
        <v>2.46</v>
      </c>
      <c r="AC72" s="9" t="str">
        <f t="shared" si="29"/>
        <v>Krause, Daniel</v>
      </c>
      <c r="AD72" s="14">
        <f t="shared" si="28"/>
        <v>0</v>
      </c>
    </row>
    <row r="73" spans="22:30" x14ac:dyDescent="0.3">
      <c r="V73" s="1" t="s">
        <v>98</v>
      </c>
      <c r="W73" s="45" t="s">
        <v>49</v>
      </c>
      <c r="X73" s="1">
        <f t="shared" si="25"/>
        <v>67</v>
      </c>
      <c r="Y73" s="1">
        <f t="shared" si="26"/>
        <v>186</v>
      </c>
      <c r="Z73" s="7">
        <f t="shared" si="27"/>
        <v>2.78</v>
      </c>
      <c r="AC73" s="9" t="str">
        <f t="shared" si="29"/>
        <v>Lopez, Matthew</v>
      </c>
      <c r="AD73" s="14">
        <f t="shared" si="28"/>
        <v>0</v>
      </c>
    </row>
    <row r="74" spans="22:30" x14ac:dyDescent="0.3">
      <c r="V74" s="1" t="s">
        <v>99</v>
      </c>
      <c r="W74" s="45" t="s">
        <v>109</v>
      </c>
      <c r="X74" s="1">
        <f t="shared" si="25"/>
        <v>57</v>
      </c>
      <c r="Y74" s="1">
        <f t="shared" si="26"/>
        <v>115</v>
      </c>
      <c r="Z74" s="7">
        <f t="shared" si="27"/>
        <v>2.02</v>
      </c>
      <c r="AC74" s="9" t="str">
        <f t="shared" si="29"/>
        <v>Santaella, Adriana</v>
      </c>
      <c r="AD74" s="14">
        <f t="shared" si="28"/>
        <v>0</v>
      </c>
    </row>
    <row r="75" spans="22:30" x14ac:dyDescent="0.3">
      <c r="W75" s="10" t="s">
        <v>17</v>
      </c>
      <c r="X75" s="11">
        <f t="shared" si="25"/>
        <v>0</v>
      </c>
      <c r="Y75" s="11">
        <f t="shared" si="26"/>
        <v>0</v>
      </c>
      <c r="Z75" s="12">
        <f t="shared" si="27"/>
        <v>0</v>
      </c>
      <c r="AC75" s="9" t="str">
        <f t="shared" si="29"/>
        <v xml:space="preserve">Woodke, Jeralyn </v>
      </c>
      <c r="AD75" s="14">
        <f t="shared" si="28"/>
        <v>0</v>
      </c>
    </row>
    <row r="76" spans="22:30" x14ac:dyDescent="0.3">
      <c r="AC76" s="9" t="str">
        <f t="shared" si="29"/>
        <v>Mead, Emily</v>
      </c>
      <c r="AD76" s="14">
        <f t="shared" si="28"/>
        <v>0</v>
      </c>
    </row>
    <row r="77" spans="22:30" x14ac:dyDescent="0.3">
      <c r="AC77" s="9" t="str">
        <f t="shared" si="29"/>
        <v>Admin, AMC</v>
      </c>
      <c r="AD77" s="14">
        <f t="shared" si="28"/>
        <v>0</v>
      </c>
    </row>
    <row r="78" spans="22:30" x14ac:dyDescent="0.3">
      <c r="AC78" s="27" t="s">
        <v>66</v>
      </c>
      <c r="AD78" s="16">
        <f>SUM(AD69:AD77)</f>
        <v>1</v>
      </c>
    </row>
  </sheetData>
  <mergeCells count="11">
    <mergeCell ref="AG21:AH21"/>
    <mergeCell ref="AG7:AH7"/>
    <mergeCell ref="AK7:AP7"/>
    <mergeCell ref="W8:X8"/>
    <mergeCell ref="AG13:AH13"/>
    <mergeCell ref="AM15:AN15"/>
    <mergeCell ref="W22:X22"/>
    <mergeCell ref="AG30:AH30"/>
    <mergeCell ref="W36:X36"/>
    <mergeCell ref="W50:X50"/>
    <mergeCell ref="W64:X6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0BBB8-1492-4ECC-AAA1-64B56631E69C}">
  <dimension ref="A1:AP78"/>
  <sheetViews>
    <sheetView topLeftCell="S1" zoomScale="70" zoomScaleNormal="70" workbookViewId="0">
      <selection activeCell="X12" sqref="X12"/>
    </sheetView>
  </sheetViews>
  <sheetFormatPr defaultColWidth="9.109375" defaultRowHeight="14.4" x14ac:dyDescent="0.3"/>
  <cols>
    <col min="1" max="1" width="21.5546875" customWidth="1"/>
    <col min="2" max="2" width="7.5546875" customWidth="1"/>
    <col min="3" max="3" width="3.44140625" customWidth="1"/>
    <col min="4" max="4" width="5.109375" customWidth="1"/>
    <col min="5" max="5" width="2.5546875" customWidth="1"/>
    <col min="6" max="6" width="3.6640625" customWidth="1"/>
    <col min="7" max="7" width="6" customWidth="1"/>
    <col min="8" max="8" width="6.88671875" customWidth="1"/>
    <col min="9" max="9" width="7.33203125" customWidth="1"/>
    <col min="10" max="10" width="4" customWidth="1"/>
    <col min="11" max="11" width="2.109375" customWidth="1"/>
    <col min="12" max="12" width="10.33203125" bestFit="1" customWidth="1"/>
    <col min="13" max="13" width="3" customWidth="1"/>
    <col min="14" max="14" width="3.88671875" customWidth="1"/>
    <col min="15" max="15" width="6.33203125" customWidth="1"/>
    <col min="16" max="16" width="5.6640625" bestFit="1" customWidth="1"/>
    <col min="17" max="17" width="9" customWidth="1"/>
    <col min="18" max="18" width="10.5546875" customWidth="1"/>
    <col min="19" max="19" width="10.6640625" customWidth="1"/>
    <col min="20" max="22" width="9.109375" style="1"/>
    <col min="23" max="23" width="19.33203125" style="1" bestFit="1" customWidth="1"/>
    <col min="24" max="24" width="15.5546875" style="1" bestFit="1" customWidth="1"/>
    <col min="25" max="25" width="18.33203125" style="1" bestFit="1" customWidth="1"/>
    <col min="26" max="26" width="21.33203125" style="1" bestFit="1" customWidth="1"/>
    <col min="27" max="28" width="9.109375" style="1"/>
    <col min="29" max="29" width="19.33203125" style="1" bestFit="1" customWidth="1"/>
    <col min="30" max="30" width="16.109375" style="1" customWidth="1"/>
    <col min="31" max="31" width="9.109375" style="3"/>
    <col min="32" max="32" width="9.109375" style="1"/>
    <col min="33" max="33" width="18.88671875" style="1" customWidth="1"/>
    <col min="34" max="34" width="20" style="1" customWidth="1"/>
    <col min="35" max="36" width="9.109375" style="1"/>
    <col min="37" max="37" width="15" style="1" bestFit="1" customWidth="1"/>
    <col min="38" max="38" width="14.44140625" style="1" bestFit="1" customWidth="1"/>
    <col min="39" max="39" width="23.5546875" style="1" bestFit="1" customWidth="1"/>
    <col min="40" max="40" width="30.109375" style="1" bestFit="1" customWidth="1"/>
    <col min="41" max="41" width="13.33203125" style="1" bestFit="1" customWidth="1"/>
    <col min="42" max="42" width="11.44140625" style="1" bestFit="1" customWidth="1"/>
    <col min="43" max="16384" width="9.109375" style="1"/>
  </cols>
  <sheetData>
    <row r="1" spans="1:42" ht="17.399999999999999" x14ac:dyDescent="0.3">
      <c r="A1" s="29" t="s">
        <v>2</v>
      </c>
      <c r="B1" s="30"/>
      <c r="F1" s="31" t="s">
        <v>1</v>
      </c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42" x14ac:dyDescent="0.3">
      <c r="A2" s="29" t="s">
        <v>0</v>
      </c>
      <c r="B2" s="30"/>
    </row>
    <row r="3" spans="1:42" x14ac:dyDescent="0.3">
      <c r="A3" s="29" t="s">
        <v>3</v>
      </c>
      <c r="B3" s="30"/>
    </row>
    <row r="4" spans="1:42" x14ac:dyDescent="0.3">
      <c r="A4" s="29" t="s">
        <v>14</v>
      </c>
      <c r="B4" s="30"/>
      <c r="F4" s="33" t="s">
        <v>117</v>
      </c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</row>
    <row r="5" spans="1:42" x14ac:dyDescent="0.3">
      <c r="A5" s="29" t="s">
        <v>4</v>
      </c>
      <c r="B5" s="30"/>
      <c r="F5" s="33" t="s">
        <v>5</v>
      </c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42" ht="15" thickBot="1" x14ac:dyDescent="0.35">
      <c r="A6" s="29" t="s">
        <v>6</v>
      </c>
      <c r="B6" s="30"/>
    </row>
    <row r="7" spans="1:42" x14ac:dyDescent="0.3">
      <c r="M7" s="35" t="s">
        <v>15</v>
      </c>
      <c r="N7" s="36"/>
      <c r="O7" s="36"/>
      <c r="P7" s="36"/>
      <c r="AC7" s="54" t="s">
        <v>87</v>
      </c>
      <c r="AD7" s="55" t="s">
        <v>7</v>
      </c>
      <c r="AE7" s="53" t="s">
        <v>88</v>
      </c>
      <c r="AG7" s="62" t="s">
        <v>67</v>
      </c>
      <c r="AH7" s="63"/>
      <c r="AK7" s="62" t="s">
        <v>57</v>
      </c>
      <c r="AL7" s="64"/>
      <c r="AM7" s="64"/>
      <c r="AN7" s="64"/>
      <c r="AO7" s="64"/>
      <c r="AP7" s="63"/>
    </row>
    <row r="8" spans="1:42" x14ac:dyDescent="0.3">
      <c r="I8" s="37" t="s">
        <v>7</v>
      </c>
      <c r="M8" s="35" t="s">
        <v>16</v>
      </c>
      <c r="N8" s="36"/>
      <c r="O8" s="36"/>
      <c r="P8" s="36"/>
      <c r="W8" s="62" t="s">
        <v>78</v>
      </c>
      <c r="X8" s="64"/>
      <c r="Y8" s="28" t="s">
        <v>56</v>
      </c>
      <c r="Z8" s="4">
        <f>(SUM(Y11:Y20)/SUM(X11:X20))</f>
        <v>2.7727717923604311</v>
      </c>
      <c r="AC8" s="48" t="str">
        <f>W8</f>
        <v>Chica</v>
      </c>
      <c r="AD8" s="1">
        <f>Z8</f>
        <v>2.7727717923604311</v>
      </c>
      <c r="AE8" s="49">
        <f>SUM(X11:X20)</f>
        <v>1021</v>
      </c>
      <c r="AG8" s="8" t="s">
        <v>53</v>
      </c>
      <c r="AH8" s="7" t="str">
        <f>INDEX($AC$8:$AC$12, MATCH(LARGE($AD$8:$AD$12, 1), $AD$8:$AD$12, 0))</f>
        <v>Bonnie</v>
      </c>
      <c r="AK8" s="18"/>
      <c r="AL8" s="19" t="s">
        <v>60</v>
      </c>
      <c r="AM8" s="19" t="s">
        <v>62</v>
      </c>
      <c r="AN8" s="19" t="s">
        <v>63</v>
      </c>
      <c r="AO8" s="19" t="s">
        <v>61</v>
      </c>
      <c r="AP8" s="22" t="s">
        <v>64</v>
      </c>
    </row>
    <row r="9" spans="1:42" x14ac:dyDescent="0.3">
      <c r="D9" s="38"/>
      <c r="E9" s="38"/>
      <c r="F9" s="38"/>
      <c r="G9" s="39" t="s">
        <v>9</v>
      </c>
      <c r="I9" s="40">
        <v>2.74</v>
      </c>
      <c r="N9" s="41"/>
      <c r="O9" s="42" t="s">
        <v>118</v>
      </c>
      <c r="W9" s="5"/>
      <c r="X9" s="6"/>
      <c r="Z9" s="7"/>
      <c r="AC9" s="48" t="str">
        <f>W22</f>
        <v>Bonnie</v>
      </c>
      <c r="AD9" s="1">
        <f>Z22</f>
        <v>2.8271186440677964</v>
      </c>
      <c r="AE9" s="49">
        <f>SUM(X25:X34)</f>
        <v>590</v>
      </c>
      <c r="AG9" s="8" t="s">
        <v>54</v>
      </c>
      <c r="AH9" s="7" t="str">
        <f>INDEX($AC$8:$AC$12, MATCH(LARGE($AD$8:$AD$12, 2), $AD$8:$AD$12, 0))</f>
        <v>Foxy</v>
      </c>
      <c r="AK9" s="13" t="str">
        <f>W8</f>
        <v>Chica</v>
      </c>
      <c r="AL9" s="3">
        <f>'Week 4'!AP9</f>
        <v>14</v>
      </c>
      <c r="AM9" s="3">
        <f>AD28</f>
        <v>4</v>
      </c>
      <c r="AN9" s="3">
        <f>AH31</f>
        <v>1</v>
      </c>
      <c r="AO9" s="3">
        <f>AH14</f>
        <v>1</v>
      </c>
      <c r="AP9" s="14">
        <f>SUM(AL9:AO9)</f>
        <v>20</v>
      </c>
    </row>
    <row r="10" spans="1:42" x14ac:dyDescent="0.3">
      <c r="B10" s="38"/>
      <c r="C10" s="38"/>
      <c r="D10" s="39" t="s">
        <v>11</v>
      </c>
      <c r="W10" s="8"/>
      <c r="X10" s="24" t="s">
        <v>52</v>
      </c>
      <c r="Y10" s="24" t="s">
        <v>13</v>
      </c>
      <c r="Z10" s="25" t="s">
        <v>7</v>
      </c>
      <c r="AC10" s="48" t="str">
        <f>W36</f>
        <v>Freddy</v>
      </c>
      <c r="AD10" s="1">
        <f>Z36</f>
        <v>2.6605080831408774</v>
      </c>
      <c r="AE10" s="49">
        <f>SUM(X39:X48)</f>
        <v>866</v>
      </c>
      <c r="AG10" s="17" t="s">
        <v>55</v>
      </c>
      <c r="AH10" s="12" t="str">
        <f>INDEX($AC$8:$AC$12, MATCH(LARGE($AD$8:$AD$12, 3), $AD$8:$AD$12, 0))</f>
        <v>Chica</v>
      </c>
      <c r="AK10" s="13" t="str">
        <f>W22</f>
        <v>Bonnie</v>
      </c>
      <c r="AL10" s="3">
        <f>'Week 4'!AP10</f>
        <v>10</v>
      </c>
      <c r="AM10" s="3">
        <f>AD41</f>
        <v>2</v>
      </c>
      <c r="AN10" s="3">
        <f t="shared" ref="AN10:AN12" si="0">AH32</f>
        <v>1</v>
      </c>
      <c r="AO10" s="3">
        <f>AH15</f>
        <v>3</v>
      </c>
      <c r="AP10" s="14">
        <f t="shared" ref="AP10:AP13" si="1">SUM(AL10:AO10)</f>
        <v>16</v>
      </c>
    </row>
    <row r="11" spans="1:42" x14ac:dyDescent="0.3">
      <c r="A11" s="43" t="s">
        <v>12</v>
      </c>
      <c r="B11" s="38"/>
      <c r="C11" s="38"/>
      <c r="D11" s="38"/>
      <c r="G11" s="39" t="s">
        <v>13</v>
      </c>
      <c r="H11" s="38"/>
      <c r="I11" s="38"/>
      <c r="J11" s="38"/>
      <c r="K11" s="39" t="s">
        <v>10</v>
      </c>
      <c r="L11" s="38"/>
      <c r="M11" s="38"/>
      <c r="O11" s="38"/>
      <c r="P11" s="39" t="s">
        <v>7</v>
      </c>
      <c r="R11" s="38"/>
      <c r="S11" s="39" t="s">
        <v>8</v>
      </c>
      <c r="W11" s="9" t="s">
        <v>37</v>
      </c>
      <c r="X11" s="1">
        <f>VLOOKUP(W11,$A$12:$S$65, 4,FALSE)</f>
        <v>167</v>
      </c>
      <c r="Y11" s="1">
        <f>VLOOKUP(W11,$A$12:$S$65, 8,FALSE)</f>
        <v>525</v>
      </c>
      <c r="Z11" s="7">
        <f>VLOOKUP(W11,$A$12:$S$65, 16,FALSE)</f>
        <v>3.14</v>
      </c>
      <c r="AC11" s="48" t="str">
        <f>W50</f>
        <v>Balloon Boy</v>
      </c>
      <c r="AD11" s="1">
        <f>Z50</f>
        <v>2.6596596596596598</v>
      </c>
      <c r="AE11" s="49">
        <f>SUM(X53:X62)</f>
        <v>999</v>
      </c>
      <c r="AK11" s="13" t="str">
        <f>W36</f>
        <v>Freddy</v>
      </c>
      <c r="AL11" s="3">
        <f>'Week 4'!AP11</f>
        <v>12</v>
      </c>
      <c r="AM11" s="3">
        <f>AD54</f>
        <v>1</v>
      </c>
      <c r="AN11" s="3">
        <f t="shared" si="0"/>
        <v>1</v>
      </c>
      <c r="AO11" s="3">
        <f>AH16</f>
        <v>0</v>
      </c>
      <c r="AP11" s="14">
        <f t="shared" si="1"/>
        <v>14</v>
      </c>
    </row>
    <row r="12" spans="1:42" x14ac:dyDescent="0.3">
      <c r="A12" s="44" t="s">
        <v>17</v>
      </c>
      <c r="D12" s="40">
        <v>0</v>
      </c>
      <c r="E12" s="41"/>
      <c r="F12" s="41"/>
      <c r="G12" s="41"/>
      <c r="H12" s="42">
        <v>0</v>
      </c>
      <c r="K12" s="41"/>
      <c r="L12" s="42">
        <v>0</v>
      </c>
      <c r="O12" s="41"/>
      <c r="P12" s="42">
        <v>0</v>
      </c>
      <c r="S12" s="40">
        <v>0</v>
      </c>
      <c r="W12" s="9" t="s">
        <v>22</v>
      </c>
      <c r="X12" s="1">
        <f t="shared" ref="X12:X20" si="2">VLOOKUP(W12,$A$12:$S$65, 4,FALSE)</f>
        <v>168</v>
      </c>
      <c r="Y12" s="1">
        <f t="shared" ref="Y12:Y20" si="3">VLOOKUP(W12,$A$12:$S$65, 8,FALSE)</f>
        <v>454</v>
      </c>
      <c r="Z12" s="7">
        <f t="shared" ref="Z12:Z20" si="4">VLOOKUP(W12,$A$12:$S$65, 16,FALSE)</f>
        <v>2.7</v>
      </c>
      <c r="AC12" s="48" t="str">
        <f>W64</f>
        <v>Foxy</v>
      </c>
      <c r="AD12" s="1">
        <f>Z64</f>
        <v>2.8080593849416755</v>
      </c>
      <c r="AE12" s="49">
        <f>SUM(X67:X75)</f>
        <v>943</v>
      </c>
      <c r="AK12" s="13" t="str">
        <f>W50</f>
        <v>Balloon Boy</v>
      </c>
      <c r="AL12" s="3">
        <f>'Week 4'!AP12</f>
        <v>13</v>
      </c>
      <c r="AM12" s="3">
        <f>AD66</f>
        <v>2</v>
      </c>
      <c r="AN12" s="3">
        <f t="shared" si="0"/>
        <v>1</v>
      </c>
      <c r="AO12" s="3">
        <f>AH17</f>
        <v>0</v>
      </c>
      <c r="AP12" s="14">
        <f t="shared" si="1"/>
        <v>16</v>
      </c>
    </row>
    <row r="13" spans="1:42" ht="15" thickBot="1" x14ac:dyDescent="0.35">
      <c r="A13" s="44" t="s">
        <v>18</v>
      </c>
      <c r="D13" s="40">
        <v>0</v>
      </c>
      <c r="E13" s="41"/>
      <c r="F13" s="41"/>
      <c r="G13" s="41"/>
      <c r="H13" s="42">
        <v>0</v>
      </c>
      <c r="K13" s="41"/>
      <c r="L13" s="42">
        <v>0</v>
      </c>
      <c r="O13" s="41"/>
      <c r="P13" s="42">
        <v>0</v>
      </c>
      <c r="S13" s="40">
        <v>0</v>
      </c>
      <c r="W13" s="45" t="s">
        <v>75</v>
      </c>
      <c r="X13" s="1">
        <f t="shared" si="2"/>
        <v>158</v>
      </c>
      <c r="Y13" s="1">
        <f t="shared" si="3"/>
        <v>399</v>
      </c>
      <c r="Z13" s="7">
        <f t="shared" si="4"/>
        <v>2.5299999999999998</v>
      </c>
      <c r="AC13" s="50" t="s">
        <v>59</v>
      </c>
      <c r="AD13" s="51">
        <f>I9</f>
        <v>2.74</v>
      </c>
      <c r="AE13" s="52">
        <f>SUM(D12:D65)</f>
        <v>4523</v>
      </c>
      <c r="AG13" s="65" t="s">
        <v>65</v>
      </c>
      <c r="AH13" s="66"/>
      <c r="AK13" s="15" t="str">
        <f>W64</f>
        <v>Foxy</v>
      </c>
      <c r="AL13" s="21">
        <f>'Week 4'!AP13</f>
        <v>4</v>
      </c>
      <c r="AM13" s="21">
        <f>AD78</f>
        <v>3</v>
      </c>
      <c r="AN13" s="21">
        <f>AH35</f>
        <v>1</v>
      </c>
      <c r="AO13" s="21">
        <f>AH18</f>
        <v>2</v>
      </c>
      <c r="AP13" s="16">
        <f t="shared" si="1"/>
        <v>10</v>
      </c>
    </row>
    <row r="14" spans="1:42" x14ac:dyDescent="0.3">
      <c r="A14" s="44" t="s">
        <v>19</v>
      </c>
      <c r="D14" s="40">
        <v>0</v>
      </c>
      <c r="E14" s="41"/>
      <c r="F14" s="41"/>
      <c r="G14" s="41"/>
      <c r="H14" s="42">
        <v>0</v>
      </c>
      <c r="K14" s="41"/>
      <c r="L14" s="42">
        <v>0</v>
      </c>
      <c r="O14" s="41"/>
      <c r="P14" s="42">
        <v>0</v>
      </c>
      <c r="S14" s="40">
        <v>0</v>
      </c>
      <c r="W14" s="9" t="s">
        <v>30</v>
      </c>
      <c r="X14" s="1">
        <f t="shared" si="2"/>
        <v>29</v>
      </c>
      <c r="Y14" s="1">
        <f t="shared" si="3"/>
        <v>73</v>
      </c>
      <c r="Z14" s="7">
        <f t="shared" si="4"/>
        <v>2.52</v>
      </c>
      <c r="AG14" s="13" t="str">
        <f>W8</f>
        <v>Chica</v>
      </c>
      <c r="AH14" s="14">
        <f>IF(AG14=$AH$8,3,IF(AG14=$AH$9,2,IF(AG14=$AH$10,1,0)))</f>
        <v>1</v>
      </c>
    </row>
    <row r="15" spans="1:42" x14ac:dyDescent="0.3">
      <c r="A15" s="44" t="s">
        <v>20</v>
      </c>
      <c r="D15" s="40">
        <v>153</v>
      </c>
      <c r="E15" s="41"/>
      <c r="F15" s="41"/>
      <c r="G15" s="41"/>
      <c r="H15" s="42">
        <v>383</v>
      </c>
      <c r="K15" s="41"/>
      <c r="L15" s="46">
        <v>3511.13</v>
      </c>
      <c r="O15" s="41"/>
      <c r="P15" s="42">
        <v>2.5</v>
      </c>
      <c r="S15" s="47">
        <v>22.95</v>
      </c>
      <c r="W15" s="9" t="s">
        <v>34</v>
      </c>
      <c r="X15" s="1">
        <f t="shared" si="2"/>
        <v>23</v>
      </c>
      <c r="Y15" s="1">
        <f t="shared" si="3"/>
        <v>64</v>
      </c>
      <c r="Z15" s="7">
        <f t="shared" si="4"/>
        <v>2.78</v>
      </c>
      <c r="AG15" s="13" t="str">
        <f>W22</f>
        <v>Bonnie</v>
      </c>
      <c r="AH15" s="14">
        <f t="shared" ref="AH15:AH18" si="5">IF(AG15=$AH$8,3,IF(AG15=$AH$9,2,IF(AG15=$AH$10,1,0)))</f>
        <v>3</v>
      </c>
      <c r="AM15" s="62" t="s">
        <v>68</v>
      </c>
      <c r="AN15" s="63"/>
    </row>
    <row r="16" spans="1:42" x14ac:dyDescent="0.3">
      <c r="A16" s="44" t="s">
        <v>21</v>
      </c>
      <c r="D16" s="40">
        <v>206</v>
      </c>
      <c r="E16" s="41"/>
      <c r="F16" s="41"/>
      <c r="G16" s="41"/>
      <c r="H16" s="42">
        <v>593</v>
      </c>
      <c r="K16" s="41"/>
      <c r="L16" s="46">
        <v>5592.3</v>
      </c>
      <c r="O16" s="41"/>
      <c r="P16" s="42">
        <v>2.88</v>
      </c>
      <c r="S16" s="47">
        <v>27.15</v>
      </c>
      <c r="W16" s="9" t="s">
        <v>39</v>
      </c>
      <c r="X16" s="1">
        <f t="shared" si="2"/>
        <v>182</v>
      </c>
      <c r="Y16" s="1">
        <f t="shared" si="3"/>
        <v>531</v>
      </c>
      <c r="Z16" s="7">
        <f t="shared" si="4"/>
        <v>2.92</v>
      </c>
      <c r="AG16" s="13" t="str">
        <f>W36</f>
        <v>Freddy</v>
      </c>
      <c r="AH16" s="14">
        <f t="shared" si="5"/>
        <v>0</v>
      </c>
      <c r="AM16" s="8" t="s">
        <v>69</v>
      </c>
      <c r="AN16" s="7" t="str">
        <f>INDEX($AK$9:$AK$13, MATCH(LARGE($AP$9:$AP$13, 1), $AP$9:$AP$13, 0))</f>
        <v>Chica</v>
      </c>
    </row>
    <row r="17" spans="1:40" x14ac:dyDescent="0.3">
      <c r="A17" s="44" t="s">
        <v>22</v>
      </c>
      <c r="D17" s="40">
        <v>168</v>
      </c>
      <c r="E17" s="41"/>
      <c r="F17" s="41"/>
      <c r="G17" s="41"/>
      <c r="H17" s="42">
        <v>454</v>
      </c>
      <c r="K17" s="41"/>
      <c r="L17" s="46">
        <v>4218.3500000000004</v>
      </c>
      <c r="O17" s="41"/>
      <c r="P17" s="42">
        <v>2.7</v>
      </c>
      <c r="S17" s="47">
        <v>25.11</v>
      </c>
      <c r="W17" s="9" t="s">
        <v>43</v>
      </c>
      <c r="X17" s="1">
        <f t="shared" si="2"/>
        <v>14</v>
      </c>
      <c r="Y17" s="1">
        <f t="shared" si="3"/>
        <v>29</v>
      </c>
      <c r="Z17" s="7">
        <f t="shared" si="4"/>
        <v>2.0699999999999998</v>
      </c>
      <c r="AC17" s="23" t="str">
        <f>W8</f>
        <v>Chica</v>
      </c>
      <c r="AD17" s="26" t="s">
        <v>58</v>
      </c>
      <c r="AG17" s="13" t="str">
        <f>W50</f>
        <v>Balloon Boy</v>
      </c>
      <c r="AH17" s="14">
        <f t="shared" si="5"/>
        <v>0</v>
      </c>
      <c r="AM17" s="8" t="s">
        <v>70</v>
      </c>
      <c r="AN17" s="7" t="str">
        <f>INDEX($AK$9:$AK$13, MATCH(LARGE($AP$9:$AP$13, 2), $AP$9:$AP$13, 0))</f>
        <v>Bonnie</v>
      </c>
    </row>
    <row r="18" spans="1:40" x14ac:dyDescent="0.3">
      <c r="A18" s="44" t="s">
        <v>75</v>
      </c>
      <c r="D18" s="40">
        <v>158</v>
      </c>
      <c r="E18" s="41"/>
      <c r="F18" s="41"/>
      <c r="G18" s="41"/>
      <c r="H18" s="42">
        <v>399</v>
      </c>
      <c r="K18" s="41"/>
      <c r="L18" s="46">
        <v>3685.3</v>
      </c>
      <c r="O18" s="41"/>
      <c r="P18" s="42">
        <v>2.5299999999999998</v>
      </c>
      <c r="S18" s="47">
        <v>23.32</v>
      </c>
      <c r="W18" s="9" t="s">
        <v>104</v>
      </c>
      <c r="X18" s="1">
        <f t="shared" si="2"/>
        <v>112</v>
      </c>
      <c r="Y18" s="1">
        <f t="shared" si="3"/>
        <v>290</v>
      </c>
      <c r="Z18" s="7">
        <f t="shared" si="4"/>
        <v>2.59</v>
      </c>
      <c r="AC18" s="9" t="str">
        <f>W11</f>
        <v>Lopez, Ebony</v>
      </c>
      <c r="AD18" s="14">
        <f t="shared" ref="AD18:AD27" si="6">IF(VLOOKUP(AC18,$W:$Z,2,FALSE)&gt;=100,
    IF(VLOOKUP(AC18,$W:$Z,4,FALSE)&gt;$AD$13,
        IF(VLOOKUP(AC18,$W:$Z,4,FALSE)&gt;=$AD$13+0.5,3,
            IF(VLOOKUP(AC18,$W:$Z,4,FALSE)&gt;=$AD$13+0.25,2,1)
        ),
    0),
0)</f>
        <v>2</v>
      </c>
      <c r="AG18" s="15" t="str">
        <f>W64</f>
        <v>Foxy</v>
      </c>
      <c r="AH18" s="16">
        <f t="shared" si="5"/>
        <v>2</v>
      </c>
      <c r="AM18" s="8" t="s">
        <v>71</v>
      </c>
      <c r="AN18" s="7" t="str">
        <f>INDEX($AK$9:$AK$13, MATCH(LARGE($AP$9:$AP$13, 3), $AP$9:$AP$13, 0))</f>
        <v>Bonnie</v>
      </c>
    </row>
    <row r="19" spans="1:40" x14ac:dyDescent="0.3">
      <c r="A19" s="44" t="s">
        <v>108</v>
      </c>
      <c r="D19" s="40">
        <v>134</v>
      </c>
      <c r="E19" s="41"/>
      <c r="F19" s="41"/>
      <c r="G19" s="41"/>
      <c r="H19" s="42">
        <v>337</v>
      </c>
      <c r="K19" s="41"/>
      <c r="L19" s="46">
        <v>3107.54</v>
      </c>
      <c r="O19" s="41"/>
      <c r="P19" s="42">
        <v>2.5099999999999998</v>
      </c>
      <c r="S19" s="47">
        <v>23.19</v>
      </c>
      <c r="W19" s="9" t="s">
        <v>74</v>
      </c>
      <c r="X19" s="1">
        <f t="shared" si="2"/>
        <v>168</v>
      </c>
      <c r="Y19" s="1">
        <f t="shared" si="3"/>
        <v>466</v>
      </c>
      <c r="Z19" s="7">
        <f t="shared" si="4"/>
        <v>2.77</v>
      </c>
      <c r="AC19" s="9" t="str">
        <f>W12</f>
        <v>Allen, Wren</v>
      </c>
      <c r="AD19" s="14">
        <f t="shared" si="6"/>
        <v>0</v>
      </c>
      <c r="AM19" s="8" t="s">
        <v>72</v>
      </c>
      <c r="AN19" s="7" t="str">
        <f>INDEX($AK$9:$AK$13, MATCH(LARGE($AP$9:$AP$13, 4), $AP$9:$AP$13, 0))</f>
        <v>Freddy</v>
      </c>
    </row>
    <row r="20" spans="1:40" x14ac:dyDescent="0.3">
      <c r="A20" s="44" t="s">
        <v>24</v>
      </c>
      <c r="D20" s="40">
        <v>0</v>
      </c>
      <c r="E20" s="41"/>
      <c r="F20" s="41"/>
      <c r="G20" s="41"/>
      <c r="H20" s="42">
        <v>0</v>
      </c>
      <c r="K20" s="41"/>
      <c r="L20" s="42">
        <v>0</v>
      </c>
      <c r="O20" s="41"/>
      <c r="P20" s="42">
        <v>0</v>
      </c>
      <c r="S20" s="40">
        <v>0</v>
      </c>
      <c r="V20" s="1" t="s">
        <v>101</v>
      </c>
      <c r="W20" s="61" t="s">
        <v>119</v>
      </c>
      <c r="X20" s="11">
        <f t="shared" si="2"/>
        <v>0</v>
      </c>
      <c r="Y20" s="11">
        <f t="shared" si="3"/>
        <v>0</v>
      </c>
      <c r="Z20" s="12">
        <f t="shared" si="4"/>
        <v>0</v>
      </c>
      <c r="AC20" s="9" t="str">
        <f t="shared" ref="AC20:AC25" si="7">W13</f>
        <v>Araya, Kidane</v>
      </c>
      <c r="AD20" s="14">
        <f t="shared" si="6"/>
        <v>0</v>
      </c>
      <c r="AM20" s="17" t="s">
        <v>73</v>
      </c>
      <c r="AN20" s="12" t="str">
        <f>INDEX($AK$9:$AK$13, MATCH(LARGE($AP$9:$AP$13, 5), $AP$9:$AP$13, 0))</f>
        <v>Foxy</v>
      </c>
    </row>
    <row r="21" spans="1:40" x14ac:dyDescent="0.3">
      <c r="A21" s="44" t="s">
        <v>25</v>
      </c>
      <c r="D21" s="40">
        <v>41</v>
      </c>
      <c r="E21" s="41"/>
      <c r="F21" s="41"/>
      <c r="G21" s="41"/>
      <c r="H21" s="42">
        <v>112</v>
      </c>
      <c r="K21" s="41"/>
      <c r="L21" s="46">
        <v>1058.83</v>
      </c>
      <c r="O21" s="41"/>
      <c r="P21" s="42">
        <v>2.73</v>
      </c>
      <c r="S21" s="47">
        <v>25.83</v>
      </c>
      <c r="AC21" s="9" t="str">
        <f t="shared" si="7"/>
        <v>Gemmer, Jake</v>
      </c>
      <c r="AD21" s="14">
        <f t="shared" si="6"/>
        <v>0</v>
      </c>
      <c r="AG21" s="62" t="s">
        <v>91</v>
      </c>
      <c r="AH21" s="63"/>
    </row>
    <row r="22" spans="1:40" x14ac:dyDescent="0.3">
      <c r="A22" s="44" t="s">
        <v>26</v>
      </c>
      <c r="D22" s="40">
        <v>0</v>
      </c>
      <c r="E22" s="41"/>
      <c r="F22" s="41"/>
      <c r="G22" s="41"/>
      <c r="H22" s="42">
        <v>0</v>
      </c>
      <c r="K22" s="41"/>
      <c r="L22" s="42">
        <v>0</v>
      </c>
      <c r="O22" s="41"/>
      <c r="P22" s="42">
        <v>0</v>
      </c>
      <c r="S22" s="40">
        <v>0</v>
      </c>
      <c r="W22" s="62" t="s">
        <v>79</v>
      </c>
      <c r="X22" s="64"/>
      <c r="Y22" s="28" t="s">
        <v>7</v>
      </c>
      <c r="Z22" s="4">
        <f>(SUM(Y25:Y34)/SUM(X25:X34))</f>
        <v>2.8271186440677964</v>
      </c>
      <c r="AC22" s="9" t="str">
        <f t="shared" si="7"/>
        <v>Jackson, Parker</v>
      </c>
      <c r="AD22" s="14">
        <f t="shared" si="6"/>
        <v>0</v>
      </c>
      <c r="AG22" s="5" t="s">
        <v>87</v>
      </c>
      <c r="AH22" s="58" t="s">
        <v>7</v>
      </c>
    </row>
    <row r="23" spans="1:40" x14ac:dyDescent="0.3">
      <c r="A23" s="44" t="s">
        <v>114</v>
      </c>
      <c r="D23" s="40">
        <v>37</v>
      </c>
      <c r="E23" s="41"/>
      <c r="F23" s="41"/>
      <c r="G23" s="41"/>
      <c r="H23" s="42">
        <v>106</v>
      </c>
      <c r="K23" s="41"/>
      <c r="L23" s="46">
        <v>980.79</v>
      </c>
      <c r="O23" s="41"/>
      <c r="P23" s="42">
        <v>2.86</v>
      </c>
      <c r="S23" s="47">
        <v>26.51</v>
      </c>
      <c r="W23" s="8"/>
      <c r="Z23" s="7"/>
      <c r="AC23" s="9" t="str">
        <f t="shared" si="7"/>
        <v>Mccarty, Katelynn</v>
      </c>
      <c r="AD23" s="14">
        <f t="shared" si="6"/>
        <v>1</v>
      </c>
      <c r="AG23" s="56" t="str">
        <f>W8</f>
        <v>Chica</v>
      </c>
      <c r="AH23" s="7">
        <f>'Week 4'!AD8</f>
        <v>2.5349544072948329</v>
      </c>
    </row>
    <row r="24" spans="1:40" x14ac:dyDescent="0.3">
      <c r="A24" s="44" t="s">
        <v>27</v>
      </c>
      <c r="D24" s="40">
        <v>88</v>
      </c>
      <c r="E24" s="41"/>
      <c r="F24" s="41"/>
      <c r="G24" s="41"/>
      <c r="H24" s="42">
        <v>252</v>
      </c>
      <c r="K24" s="41"/>
      <c r="L24" s="46">
        <v>2347.5700000000002</v>
      </c>
      <c r="O24" s="41"/>
      <c r="P24" s="42">
        <v>2.86</v>
      </c>
      <c r="S24" s="47">
        <v>26.68</v>
      </c>
      <c r="W24" s="8"/>
      <c r="X24" s="24" t="s">
        <v>52</v>
      </c>
      <c r="Y24" s="24" t="s">
        <v>13</v>
      </c>
      <c r="Z24" s="25" t="s">
        <v>7</v>
      </c>
      <c r="AC24" s="9" t="str">
        <f t="shared" si="7"/>
        <v>Montero, Rowan</v>
      </c>
      <c r="AD24" s="14">
        <f t="shared" si="6"/>
        <v>0</v>
      </c>
      <c r="AG24" s="56" t="str">
        <f>W22</f>
        <v>Bonnie</v>
      </c>
      <c r="AH24" s="7">
        <f>'Week 4'!AD9</f>
        <v>2.4912280701754388</v>
      </c>
    </row>
    <row r="25" spans="1:40" x14ac:dyDescent="0.3">
      <c r="A25" s="44" t="s">
        <v>28</v>
      </c>
      <c r="D25" s="40">
        <v>134</v>
      </c>
      <c r="E25" s="41"/>
      <c r="F25" s="41"/>
      <c r="G25" s="41"/>
      <c r="H25" s="42">
        <v>404</v>
      </c>
      <c r="K25" s="41"/>
      <c r="L25" s="46">
        <v>3736.94</v>
      </c>
      <c r="O25" s="41"/>
      <c r="P25" s="42">
        <v>3.01</v>
      </c>
      <c r="S25" s="47">
        <v>27.89</v>
      </c>
      <c r="W25" s="9" t="s">
        <v>51</v>
      </c>
      <c r="X25" s="1">
        <f>VLOOKUP(W25,$A$12:$S$65, 4,FALSE)</f>
        <v>75</v>
      </c>
      <c r="Y25" s="1">
        <f>VLOOKUP(W25,$A$12:$S$65, 8,FALSE)</f>
        <v>197</v>
      </c>
      <c r="Z25" s="7">
        <f>VLOOKUP(W25,$A$12:$S$65, 16,FALSE)</f>
        <v>2.63</v>
      </c>
      <c r="AC25" s="9" t="str">
        <f t="shared" si="7"/>
        <v>Pepper, Courtney</v>
      </c>
      <c r="AD25" s="14">
        <f t="shared" si="6"/>
        <v>0</v>
      </c>
      <c r="AG25" s="56" t="str">
        <f>W36</f>
        <v>Freddy</v>
      </c>
      <c r="AH25" s="7">
        <f>'Week 4'!AD10</f>
        <v>2.5585585585585586</v>
      </c>
    </row>
    <row r="26" spans="1:40" x14ac:dyDescent="0.3">
      <c r="A26" s="44" t="s">
        <v>103</v>
      </c>
      <c r="D26" s="40">
        <v>6</v>
      </c>
      <c r="E26" s="41"/>
      <c r="F26" s="41"/>
      <c r="G26" s="41"/>
      <c r="H26" s="42">
        <v>17</v>
      </c>
      <c r="K26" s="41"/>
      <c r="L26" s="46">
        <v>162.46</v>
      </c>
      <c r="O26" s="41"/>
      <c r="P26" s="42">
        <v>2.83</v>
      </c>
      <c r="S26" s="47">
        <v>27.08</v>
      </c>
      <c r="W26" s="9" t="s">
        <v>27</v>
      </c>
      <c r="X26" s="1">
        <f t="shared" ref="X26:X34" si="8">VLOOKUP(W26,$A$12:$S$65, 4,FALSE)</f>
        <v>88</v>
      </c>
      <c r="Y26" s="1">
        <f t="shared" ref="Y26:Y34" si="9">VLOOKUP(W26,$A$12:$S$65, 8,FALSE)</f>
        <v>252</v>
      </c>
      <c r="Z26" s="7">
        <f t="shared" ref="Z26:Z34" si="10">VLOOKUP(W26,$A$12:$S$65, 16,FALSE)</f>
        <v>2.86</v>
      </c>
      <c r="AC26" s="9" t="str">
        <f>W19</f>
        <v>Taylor, Ronni</v>
      </c>
      <c r="AD26" s="14">
        <f t="shared" si="6"/>
        <v>1</v>
      </c>
      <c r="AG26" s="56" t="str">
        <f>W50</f>
        <v>Balloon Boy</v>
      </c>
      <c r="AH26" s="7">
        <f>'Week 4'!AD11</f>
        <v>2.4479553903345725</v>
      </c>
    </row>
    <row r="27" spans="1:40" x14ac:dyDescent="0.3">
      <c r="A27" s="44" t="s">
        <v>29</v>
      </c>
      <c r="D27" s="40">
        <v>41</v>
      </c>
      <c r="E27" s="41"/>
      <c r="F27" s="41"/>
      <c r="G27" s="41"/>
      <c r="H27" s="42">
        <v>146</v>
      </c>
      <c r="K27" s="41"/>
      <c r="L27" s="46">
        <v>1380.41</v>
      </c>
      <c r="O27" s="41"/>
      <c r="P27" s="42">
        <v>3.56</v>
      </c>
      <c r="S27" s="47">
        <v>33.67</v>
      </c>
      <c r="W27" s="9" t="s">
        <v>28</v>
      </c>
      <c r="X27" s="1">
        <f t="shared" si="8"/>
        <v>134</v>
      </c>
      <c r="Y27" s="1">
        <f t="shared" si="9"/>
        <v>404</v>
      </c>
      <c r="Z27" s="7">
        <f t="shared" si="10"/>
        <v>3.01</v>
      </c>
      <c r="AC27" s="9" t="str">
        <f>W20</f>
        <v>Hall, Keira</v>
      </c>
      <c r="AD27" s="14">
        <f t="shared" si="6"/>
        <v>0</v>
      </c>
      <c r="AG27" s="57" t="str">
        <f>W64</f>
        <v>Foxy</v>
      </c>
      <c r="AH27" s="12">
        <f>'Week 4'!AD12</f>
        <v>2.4080944350758853</v>
      </c>
    </row>
    <row r="28" spans="1:40" x14ac:dyDescent="0.3">
      <c r="A28" s="44" t="s">
        <v>30</v>
      </c>
      <c r="D28" s="40">
        <v>29</v>
      </c>
      <c r="E28" s="41"/>
      <c r="F28" s="41"/>
      <c r="G28" s="41"/>
      <c r="H28" s="42">
        <v>73</v>
      </c>
      <c r="K28" s="41"/>
      <c r="L28" s="46">
        <v>638.49</v>
      </c>
      <c r="O28" s="41"/>
      <c r="P28" s="42">
        <v>2.52</v>
      </c>
      <c r="S28" s="47">
        <v>22.02</v>
      </c>
      <c r="W28" s="9" t="s">
        <v>29</v>
      </c>
      <c r="X28" s="1">
        <f t="shared" si="8"/>
        <v>41</v>
      </c>
      <c r="Y28" s="1">
        <f t="shared" si="9"/>
        <v>146</v>
      </c>
      <c r="Z28" s="7">
        <f t="shared" si="10"/>
        <v>3.56</v>
      </c>
      <c r="AC28" s="27" t="s">
        <v>66</v>
      </c>
      <c r="AD28" s="16">
        <f>SUM(AD18:AD27)</f>
        <v>4</v>
      </c>
    </row>
    <row r="29" spans="1:40" x14ac:dyDescent="0.3">
      <c r="A29" s="44" t="s">
        <v>115</v>
      </c>
      <c r="D29" s="40">
        <v>264</v>
      </c>
      <c r="E29" s="41"/>
      <c r="F29" s="41"/>
      <c r="G29" s="41"/>
      <c r="H29" s="42">
        <v>708</v>
      </c>
      <c r="K29" s="41"/>
      <c r="L29" s="46">
        <v>6584.44</v>
      </c>
      <c r="O29" s="41"/>
      <c r="P29" s="42">
        <v>2.68</v>
      </c>
      <c r="S29" s="47">
        <v>24.94</v>
      </c>
      <c r="W29" s="9" t="s">
        <v>32</v>
      </c>
      <c r="X29" s="1">
        <f t="shared" si="8"/>
        <v>5</v>
      </c>
      <c r="Y29" s="1">
        <f t="shared" si="9"/>
        <v>12</v>
      </c>
      <c r="Z29" s="7">
        <f t="shared" si="10"/>
        <v>2.4</v>
      </c>
      <c r="AD29" s="3"/>
    </row>
    <row r="30" spans="1:40" x14ac:dyDescent="0.3">
      <c r="A30" s="44" t="s">
        <v>119</v>
      </c>
      <c r="D30" s="40">
        <v>0</v>
      </c>
      <c r="E30" s="41"/>
      <c r="F30" s="41"/>
      <c r="G30" s="41"/>
      <c r="H30" s="42">
        <v>0</v>
      </c>
      <c r="K30" s="41"/>
      <c r="L30" s="42">
        <v>0</v>
      </c>
      <c r="O30" s="41"/>
      <c r="P30" s="42">
        <v>0</v>
      </c>
      <c r="S30" s="40">
        <v>0</v>
      </c>
      <c r="W30" s="9" t="s">
        <v>17</v>
      </c>
      <c r="X30" s="1">
        <f t="shared" si="8"/>
        <v>0</v>
      </c>
      <c r="Y30" s="1">
        <f t="shared" si="9"/>
        <v>0</v>
      </c>
      <c r="Z30" s="7">
        <f t="shared" si="10"/>
        <v>0</v>
      </c>
      <c r="AC30" s="23" t="str">
        <f>W22</f>
        <v>Bonnie</v>
      </c>
      <c r="AD30" s="26" t="s">
        <v>58</v>
      </c>
      <c r="AG30" s="67" t="s">
        <v>92</v>
      </c>
      <c r="AH30" s="68"/>
    </row>
    <row r="31" spans="1:40" x14ac:dyDescent="0.3">
      <c r="A31" s="44" t="s">
        <v>32</v>
      </c>
      <c r="D31" s="40">
        <v>5</v>
      </c>
      <c r="E31" s="41"/>
      <c r="F31" s="41"/>
      <c r="G31" s="41"/>
      <c r="H31" s="42">
        <v>12</v>
      </c>
      <c r="K31" s="41"/>
      <c r="L31" s="46">
        <v>104.56</v>
      </c>
      <c r="O31" s="41"/>
      <c r="P31" s="42">
        <v>2.4</v>
      </c>
      <c r="S31" s="47">
        <v>20.91</v>
      </c>
      <c r="W31" s="9" t="s">
        <v>46</v>
      </c>
      <c r="X31" s="1">
        <f t="shared" si="8"/>
        <v>45</v>
      </c>
      <c r="Y31" s="1">
        <f t="shared" si="9"/>
        <v>135</v>
      </c>
      <c r="Z31" s="7">
        <f t="shared" si="10"/>
        <v>3</v>
      </c>
      <c r="AC31" s="9" t="str">
        <f>W25</f>
        <v>Zeller, Daniel</v>
      </c>
      <c r="AD31" s="14">
        <f t="shared" ref="AD31:AD40" si="11">IF(VLOOKUP(AC31,$W:$Z,2,FALSE)&gt;=100,
    IF(VLOOKUP(AC31,$W:$Z,4,FALSE)&gt;$AD$13,
        IF(VLOOKUP(AC31,$W:$Z,4,FALSE)&gt;=$AD$13+0.5,3,
            IF(VLOOKUP(AC31,$W:$Z,4,FALSE)&gt;=$AD$13+0.25,2,1)
        ),
    0),
0)</f>
        <v>0</v>
      </c>
      <c r="AG31" s="56" t="str">
        <f>W8</f>
        <v>Chica</v>
      </c>
      <c r="AH31" s="14">
        <f>IF(AD8&gt;AH23,1,0)</f>
        <v>1</v>
      </c>
    </row>
    <row r="32" spans="1:40" x14ac:dyDescent="0.3">
      <c r="A32" s="44" t="s">
        <v>33</v>
      </c>
      <c r="D32" s="40">
        <v>167</v>
      </c>
      <c r="E32" s="41"/>
      <c r="F32" s="41"/>
      <c r="G32" s="41"/>
      <c r="H32" s="42">
        <v>471</v>
      </c>
      <c r="K32" s="41"/>
      <c r="L32" s="46">
        <v>4375.4799999999996</v>
      </c>
      <c r="O32" s="41"/>
      <c r="P32" s="42">
        <v>2.82</v>
      </c>
      <c r="S32" s="47">
        <v>26.2</v>
      </c>
      <c r="W32" s="9" t="s">
        <v>50</v>
      </c>
      <c r="X32" s="1">
        <f t="shared" si="8"/>
        <v>202</v>
      </c>
      <c r="Y32" s="1">
        <f t="shared" si="9"/>
        <v>522</v>
      </c>
      <c r="Z32" s="7">
        <f t="shared" si="10"/>
        <v>2.58</v>
      </c>
      <c r="AC32" s="9" t="str">
        <f>W26</f>
        <v>Dick, Emilie</v>
      </c>
      <c r="AD32" s="14">
        <f t="shared" si="11"/>
        <v>0</v>
      </c>
      <c r="AG32" s="56" t="str">
        <f>W22</f>
        <v>Bonnie</v>
      </c>
      <c r="AH32" s="14">
        <f>IF(AD9&gt;AH24, 1,0)</f>
        <v>1</v>
      </c>
    </row>
    <row r="33" spans="1:34" x14ac:dyDescent="0.3">
      <c r="A33" s="44" t="s">
        <v>86</v>
      </c>
      <c r="D33" s="40">
        <v>196</v>
      </c>
      <c r="E33" s="41"/>
      <c r="F33" s="41"/>
      <c r="G33" s="41"/>
      <c r="H33" s="42">
        <v>541</v>
      </c>
      <c r="K33" s="41"/>
      <c r="L33" s="46">
        <v>4867.4799999999996</v>
      </c>
      <c r="O33" s="41"/>
      <c r="P33" s="42">
        <v>2.76</v>
      </c>
      <c r="S33" s="47">
        <v>24.83</v>
      </c>
      <c r="W33" s="45" t="s">
        <v>110</v>
      </c>
      <c r="X33" s="1">
        <f t="shared" si="8"/>
        <v>0</v>
      </c>
      <c r="Y33" s="1">
        <f t="shared" si="9"/>
        <v>0</v>
      </c>
      <c r="Z33" s="7">
        <f t="shared" si="10"/>
        <v>0</v>
      </c>
      <c r="AC33" s="9" t="str">
        <f t="shared" ref="AC33:AC40" si="12">W27</f>
        <v>Farmer, Kasey</v>
      </c>
      <c r="AD33" s="14">
        <f t="shared" si="11"/>
        <v>2</v>
      </c>
      <c r="AG33" s="56" t="str">
        <f>W36</f>
        <v>Freddy</v>
      </c>
      <c r="AH33" s="14">
        <f>IF(AD10&gt;AH25, 1,0)</f>
        <v>1</v>
      </c>
    </row>
    <row r="34" spans="1:34" x14ac:dyDescent="0.3">
      <c r="A34" s="44" t="s">
        <v>34</v>
      </c>
      <c r="D34" s="40">
        <v>23</v>
      </c>
      <c r="E34" s="41"/>
      <c r="F34" s="41"/>
      <c r="G34" s="41"/>
      <c r="H34" s="42">
        <v>64</v>
      </c>
      <c r="K34" s="41"/>
      <c r="L34" s="46">
        <v>583.05999999999995</v>
      </c>
      <c r="O34" s="41"/>
      <c r="P34" s="42">
        <v>2.78</v>
      </c>
      <c r="S34" s="47">
        <v>25.35</v>
      </c>
      <c r="V34" s="1" t="s">
        <v>100</v>
      </c>
      <c r="W34" s="10" t="s">
        <v>17</v>
      </c>
      <c r="X34" s="11">
        <f t="shared" si="8"/>
        <v>0</v>
      </c>
      <c r="Y34" s="11">
        <f t="shared" si="9"/>
        <v>0</v>
      </c>
      <c r="Z34" s="12">
        <f t="shared" si="10"/>
        <v>0</v>
      </c>
      <c r="AC34" s="9" t="str">
        <f t="shared" si="12"/>
        <v>Gashu, Amanuel</v>
      </c>
      <c r="AD34" s="14">
        <f t="shared" si="11"/>
        <v>0</v>
      </c>
      <c r="AG34" s="56" t="str">
        <f>W50</f>
        <v>Balloon Boy</v>
      </c>
      <c r="AH34" s="14">
        <f t="shared" ref="AH34:AH35" si="13">IF(AD11&gt;AH26, 1,0)</f>
        <v>1</v>
      </c>
    </row>
    <row r="35" spans="1:34" x14ac:dyDescent="0.3">
      <c r="A35" s="44" t="s">
        <v>35</v>
      </c>
      <c r="D35" s="40">
        <v>30</v>
      </c>
      <c r="E35" s="41"/>
      <c r="F35" s="41"/>
      <c r="G35" s="41"/>
      <c r="H35" s="42">
        <v>83</v>
      </c>
      <c r="K35" s="41"/>
      <c r="L35" s="46">
        <v>777.97</v>
      </c>
      <c r="O35" s="41"/>
      <c r="P35" s="42">
        <v>2.77</v>
      </c>
      <c r="S35" s="47">
        <v>25.93</v>
      </c>
      <c r="AC35" s="9" t="str">
        <f t="shared" si="12"/>
        <v>Hatch, Aidan</v>
      </c>
      <c r="AD35" s="14">
        <f t="shared" si="11"/>
        <v>0</v>
      </c>
      <c r="AG35" s="57" t="str">
        <f>W64</f>
        <v>Foxy</v>
      </c>
      <c r="AH35" s="16">
        <f t="shared" si="13"/>
        <v>1</v>
      </c>
    </row>
    <row r="36" spans="1:34" x14ac:dyDescent="0.3">
      <c r="A36" s="44" t="s">
        <v>36</v>
      </c>
      <c r="D36" s="40">
        <v>0</v>
      </c>
      <c r="E36" s="41"/>
      <c r="F36" s="41"/>
      <c r="G36" s="41"/>
      <c r="H36" s="42">
        <v>0</v>
      </c>
      <c r="K36" s="41"/>
      <c r="L36" s="42">
        <v>0</v>
      </c>
      <c r="O36" s="41"/>
      <c r="P36" s="42">
        <v>0</v>
      </c>
      <c r="S36" s="40">
        <v>0</v>
      </c>
      <c r="W36" s="62" t="s">
        <v>80</v>
      </c>
      <c r="X36" s="64"/>
      <c r="Y36" s="28" t="s">
        <v>7</v>
      </c>
      <c r="Z36" s="4">
        <f>(SUM(Y39:Y48)/SUM(X39:X48))</f>
        <v>2.6605080831408774</v>
      </c>
      <c r="AC36" s="9" t="str">
        <f t="shared" si="12"/>
        <v>Admin, AMC</v>
      </c>
      <c r="AD36" s="14">
        <f t="shared" si="11"/>
        <v>0</v>
      </c>
    </row>
    <row r="37" spans="1:34" x14ac:dyDescent="0.3">
      <c r="A37" s="44" t="s">
        <v>82</v>
      </c>
      <c r="D37" s="40">
        <v>337</v>
      </c>
      <c r="E37" s="41"/>
      <c r="F37" s="41"/>
      <c r="G37" s="41"/>
      <c r="H37" s="42">
        <v>926</v>
      </c>
      <c r="K37" s="41"/>
      <c r="L37" s="46">
        <v>8535.4599999999991</v>
      </c>
      <c r="O37" s="41"/>
      <c r="P37" s="42">
        <v>2.75</v>
      </c>
      <c r="S37" s="47">
        <v>25.33</v>
      </c>
      <c r="W37" s="8"/>
      <c r="Z37" s="7"/>
      <c r="AC37" s="9" t="str">
        <f t="shared" si="12"/>
        <v>Ryder, Erin</v>
      </c>
      <c r="AD37" s="14">
        <f t="shared" si="11"/>
        <v>0</v>
      </c>
    </row>
    <row r="38" spans="1:34" x14ac:dyDescent="0.3">
      <c r="A38" s="44" t="s">
        <v>107</v>
      </c>
      <c r="D38" s="40">
        <v>204</v>
      </c>
      <c r="E38" s="41"/>
      <c r="F38" s="41"/>
      <c r="G38" s="41"/>
      <c r="H38" s="42">
        <v>524</v>
      </c>
      <c r="K38" s="41"/>
      <c r="L38" s="46">
        <v>4985.3900000000003</v>
      </c>
      <c r="O38" s="41"/>
      <c r="P38" s="42">
        <v>2.57</v>
      </c>
      <c r="S38" s="47">
        <v>24.44</v>
      </c>
      <c r="U38" s="2"/>
      <c r="W38" s="8"/>
      <c r="X38" s="24" t="s">
        <v>52</v>
      </c>
      <c r="Y38" s="24" t="s">
        <v>13</v>
      </c>
      <c r="Z38" s="25" t="s">
        <v>7</v>
      </c>
      <c r="AC38" s="9" t="str">
        <f t="shared" si="12"/>
        <v>Yandle, Chuck</v>
      </c>
      <c r="AD38" s="14">
        <f t="shared" si="11"/>
        <v>0</v>
      </c>
    </row>
    <row r="39" spans="1:34" x14ac:dyDescent="0.3">
      <c r="A39" s="44" t="s">
        <v>90</v>
      </c>
      <c r="D39" s="40">
        <v>57</v>
      </c>
      <c r="E39" s="41"/>
      <c r="F39" s="41"/>
      <c r="G39" s="41"/>
      <c r="H39" s="42">
        <v>162</v>
      </c>
      <c r="K39" s="41"/>
      <c r="L39" s="46">
        <v>1517.09</v>
      </c>
      <c r="O39" s="41"/>
      <c r="P39" s="42">
        <v>2.84</v>
      </c>
      <c r="S39" s="47">
        <v>26.62</v>
      </c>
      <c r="W39" s="9" t="s">
        <v>25</v>
      </c>
      <c r="X39" s="1">
        <f>VLOOKUP(W39,$A$12:$S$65, 4,FALSE)</f>
        <v>41</v>
      </c>
      <c r="Y39" s="1">
        <f>VLOOKUP(W39,$A$12:$S$65, 8,FALSE)</f>
        <v>112</v>
      </c>
      <c r="Z39" s="7">
        <f>VLOOKUP(W39,$A$12:$S$65, 16,FALSE)</f>
        <v>2.73</v>
      </c>
      <c r="AC39" s="9" t="str">
        <f t="shared" si="12"/>
        <v>Way, Abby</v>
      </c>
      <c r="AD39" s="14">
        <f t="shared" si="11"/>
        <v>0</v>
      </c>
    </row>
    <row r="40" spans="1:34" x14ac:dyDescent="0.3">
      <c r="A40" s="44" t="s">
        <v>37</v>
      </c>
      <c r="D40" s="40">
        <v>167</v>
      </c>
      <c r="E40" s="41"/>
      <c r="F40" s="41"/>
      <c r="G40" s="41"/>
      <c r="H40" s="42">
        <v>525</v>
      </c>
      <c r="K40" s="41"/>
      <c r="L40" s="46">
        <v>4670.5200000000004</v>
      </c>
      <c r="O40" s="41"/>
      <c r="P40" s="42">
        <v>3.14</v>
      </c>
      <c r="S40" s="47">
        <v>27.97</v>
      </c>
      <c r="W40" s="45" t="s">
        <v>20</v>
      </c>
      <c r="X40" s="1">
        <f t="shared" ref="X40:X48" si="14">VLOOKUP(W40,$A$12:$S$65, 4,FALSE)</f>
        <v>153</v>
      </c>
      <c r="Y40" s="1">
        <f t="shared" ref="Y40:Y48" si="15">VLOOKUP(W40,$A$12:$S$65, 8,FALSE)</f>
        <v>383</v>
      </c>
      <c r="Z40" s="7">
        <f t="shared" ref="Z40:Z48" si="16">VLOOKUP(W40,$A$12:$S$65, 16,FALSE)</f>
        <v>2.5</v>
      </c>
      <c r="AC40" s="9" t="str">
        <f t="shared" si="12"/>
        <v>Admin, AMC</v>
      </c>
      <c r="AD40" s="14">
        <f t="shared" si="11"/>
        <v>0</v>
      </c>
    </row>
    <row r="41" spans="1:34" x14ac:dyDescent="0.3">
      <c r="A41" s="44" t="s">
        <v>38</v>
      </c>
      <c r="D41" s="40">
        <v>0</v>
      </c>
      <c r="E41" s="41"/>
      <c r="F41" s="41"/>
      <c r="G41" s="41"/>
      <c r="H41" s="42">
        <v>0</v>
      </c>
      <c r="K41" s="41"/>
      <c r="L41" s="42">
        <v>0</v>
      </c>
      <c r="O41" s="41"/>
      <c r="P41" s="42">
        <v>0</v>
      </c>
      <c r="S41" s="40">
        <v>0</v>
      </c>
      <c r="W41" s="9" t="s">
        <v>24</v>
      </c>
      <c r="X41" s="1">
        <f t="shared" si="14"/>
        <v>0</v>
      </c>
      <c r="Y41" s="1">
        <f t="shared" si="15"/>
        <v>0</v>
      </c>
      <c r="Z41" s="7">
        <f t="shared" si="16"/>
        <v>0</v>
      </c>
      <c r="AC41" s="27" t="s">
        <v>66</v>
      </c>
      <c r="AD41" s="16">
        <f>SUM(AD31:AD40)</f>
        <v>2</v>
      </c>
    </row>
    <row r="42" spans="1:34" x14ac:dyDescent="0.3">
      <c r="A42" s="44" t="s">
        <v>39</v>
      </c>
      <c r="D42" s="40">
        <v>182</v>
      </c>
      <c r="E42" s="41"/>
      <c r="F42" s="41"/>
      <c r="G42" s="41"/>
      <c r="H42" s="42">
        <v>531</v>
      </c>
      <c r="K42" s="41"/>
      <c r="L42" s="46">
        <v>5034.47</v>
      </c>
      <c r="O42" s="41"/>
      <c r="P42" s="42">
        <v>2.92</v>
      </c>
      <c r="S42" s="47">
        <v>27.66</v>
      </c>
      <c r="W42" s="9" t="s">
        <v>33</v>
      </c>
      <c r="X42" s="1">
        <f t="shared" si="14"/>
        <v>167</v>
      </c>
      <c r="Y42" s="1">
        <f t="shared" si="15"/>
        <v>471</v>
      </c>
      <c r="Z42" s="7">
        <f t="shared" si="16"/>
        <v>2.82</v>
      </c>
      <c r="AD42" s="3"/>
    </row>
    <row r="43" spans="1:34" x14ac:dyDescent="0.3">
      <c r="A43" s="44" t="s">
        <v>40</v>
      </c>
      <c r="D43" s="40">
        <v>34</v>
      </c>
      <c r="E43" s="41"/>
      <c r="F43" s="41"/>
      <c r="G43" s="41"/>
      <c r="H43" s="42">
        <v>98</v>
      </c>
      <c r="K43" s="41"/>
      <c r="L43" s="46">
        <v>958.86</v>
      </c>
      <c r="O43" s="41"/>
      <c r="P43" s="42">
        <v>2.88</v>
      </c>
      <c r="S43" s="47">
        <v>28.2</v>
      </c>
      <c r="W43" s="45" t="s">
        <v>36</v>
      </c>
      <c r="X43" s="1">
        <f t="shared" si="14"/>
        <v>0</v>
      </c>
      <c r="Y43" s="1">
        <f t="shared" si="15"/>
        <v>0</v>
      </c>
      <c r="Z43" s="7">
        <f t="shared" si="16"/>
        <v>0</v>
      </c>
      <c r="AC43" s="23" t="str">
        <f>W36</f>
        <v>Freddy</v>
      </c>
      <c r="AD43" s="26" t="s">
        <v>58</v>
      </c>
    </row>
    <row r="44" spans="1:34" x14ac:dyDescent="0.3">
      <c r="A44" s="44" t="s">
        <v>109</v>
      </c>
      <c r="D44" s="40">
        <v>90</v>
      </c>
      <c r="E44" s="41"/>
      <c r="F44" s="41"/>
      <c r="G44" s="41"/>
      <c r="H44" s="42">
        <v>243</v>
      </c>
      <c r="K44" s="41"/>
      <c r="L44" s="46">
        <v>2296.7600000000002</v>
      </c>
      <c r="O44" s="41"/>
      <c r="P44" s="42">
        <v>2.7</v>
      </c>
      <c r="S44" s="47">
        <v>25.52</v>
      </c>
      <c r="W44" s="45" t="s">
        <v>48</v>
      </c>
      <c r="X44" s="1">
        <f t="shared" si="14"/>
        <v>0</v>
      </c>
      <c r="Y44" s="1">
        <f t="shared" si="15"/>
        <v>0</v>
      </c>
      <c r="Z44" s="7">
        <f t="shared" si="16"/>
        <v>0</v>
      </c>
      <c r="AC44" s="9" t="str">
        <f>W39</f>
        <v>DaPra, Kylan</v>
      </c>
      <c r="AD44" s="14">
        <f t="shared" ref="AD44:AD53" si="17">IF(VLOOKUP(AC44,$W:$Z,2,FALSE)&gt;=100,
    IF(VLOOKUP(AC44,$W:$Z,4,FALSE)&gt;$AD$13,
        IF(VLOOKUP(AC44,$W:$Z,4,FALSE)&gt;=$AD$13+0.5,3,
            IF(VLOOKUP(AC44,$W:$Z,4,FALSE)&gt;=$AD$13+0.25,2,1)
        ),
    0),
0)</f>
        <v>0</v>
      </c>
    </row>
    <row r="45" spans="1:34" x14ac:dyDescent="0.3">
      <c r="A45" s="44" t="s">
        <v>42</v>
      </c>
      <c r="D45" s="40">
        <v>62</v>
      </c>
      <c r="E45" s="41"/>
      <c r="F45" s="41"/>
      <c r="G45" s="41"/>
      <c r="H45" s="42">
        <v>169</v>
      </c>
      <c r="K45" s="41"/>
      <c r="L45" s="46">
        <v>1472.31</v>
      </c>
      <c r="O45" s="41"/>
      <c r="P45" s="42">
        <v>2.73</v>
      </c>
      <c r="S45" s="47">
        <v>23.75</v>
      </c>
      <c r="V45" s="1" t="s">
        <v>96</v>
      </c>
      <c r="W45" s="45" t="s">
        <v>107</v>
      </c>
      <c r="X45" s="1">
        <f t="shared" si="14"/>
        <v>204</v>
      </c>
      <c r="Y45" s="1">
        <f t="shared" si="15"/>
        <v>524</v>
      </c>
      <c r="Z45" s="7">
        <f t="shared" si="16"/>
        <v>2.57</v>
      </c>
      <c r="AC45" s="9" t="str">
        <f>W40</f>
        <v xml:space="preserve">Albert, Rowan </v>
      </c>
      <c r="AD45" s="14">
        <f t="shared" si="17"/>
        <v>0</v>
      </c>
    </row>
    <row r="46" spans="1:34" x14ac:dyDescent="0.3">
      <c r="A46" s="44" t="s">
        <v>43</v>
      </c>
      <c r="D46" s="40">
        <v>14</v>
      </c>
      <c r="E46" s="41"/>
      <c r="F46" s="41"/>
      <c r="G46" s="41"/>
      <c r="H46" s="42">
        <v>29</v>
      </c>
      <c r="K46" s="41"/>
      <c r="L46" s="46">
        <v>282.33</v>
      </c>
      <c r="O46" s="41"/>
      <c r="P46" s="42">
        <v>2.0699999999999998</v>
      </c>
      <c r="S46" s="47">
        <v>20.170000000000002</v>
      </c>
      <c r="V46" s="1" t="s">
        <v>94</v>
      </c>
      <c r="W46" s="45" t="s">
        <v>115</v>
      </c>
      <c r="X46" s="1">
        <f t="shared" si="14"/>
        <v>264</v>
      </c>
      <c r="Y46" s="1">
        <f t="shared" si="15"/>
        <v>708</v>
      </c>
      <c r="Z46" s="7">
        <f t="shared" si="16"/>
        <v>2.68</v>
      </c>
      <c r="AC46" s="9" t="str">
        <f t="shared" ref="AC46:AC53" si="18">W41</f>
        <v>Cloud, Annette</v>
      </c>
      <c r="AD46" s="14">
        <f t="shared" si="17"/>
        <v>0</v>
      </c>
    </row>
    <row r="47" spans="1:34" x14ac:dyDescent="0.3">
      <c r="A47" s="44" t="s">
        <v>44</v>
      </c>
      <c r="D47" s="40">
        <v>0</v>
      </c>
      <c r="E47" s="41"/>
      <c r="F47" s="41"/>
      <c r="G47" s="41"/>
      <c r="H47" s="42">
        <v>0</v>
      </c>
      <c r="K47" s="41"/>
      <c r="L47" s="42">
        <v>0</v>
      </c>
      <c r="O47" s="41"/>
      <c r="P47" s="42">
        <v>0</v>
      </c>
      <c r="S47" s="40">
        <v>0</v>
      </c>
      <c r="V47" s="1" t="s">
        <v>95</v>
      </c>
      <c r="W47" s="45" t="s">
        <v>114</v>
      </c>
      <c r="X47" s="1">
        <f t="shared" si="14"/>
        <v>37</v>
      </c>
      <c r="Y47" s="1">
        <f t="shared" si="15"/>
        <v>106</v>
      </c>
      <c r="Z47" s="7">
        <f t="shared" si="16"/>
        <v>2.86</v>
      </c>
      <c r="AC47" s="9" t="str">
        <f t="shared" si="18"/>
        <v>Hill, Gabby</v>
      </c>
      <c r="AD47" s="14">
        <f t="shared" si="17"/>
        <v>1</v>
      </c>
    </row>
    <row r="48" spans="1:34" x14ac:dyDescent="0.3">
      <c r="A48" s="44" t="s">
        <v>116</v>
      </c>
      <c r="D48" s="40">
        <v>0</v>
      </c>
      <c r="E48" s="41"/>
      <c r="F48" s="41"/>
      <c r="G48" s="41"/>
      <c r="H48" s="42">
        <v>0</v>
      </c>
      <c r="K48" s="41"/>
      <c r="L48" s="42">
        <v>0</v>
      </c>
      <c r="O48" s="41"/>
      <c r="P48" s="42">
        <v>0</v>
      </c>
      <c r="S48" s="40">
        <v>0</v>
      </c>
      <c r="W48" s="10" t="s">
        <v>17</v>
      </c>
      <c r="X48" s="11">
        <f t="shared" si="14"/>
        <v>0</v>
      </c>
      <c r="Y48" s="11">
        <f t="shared" si="15"/>
        <v>0</v>
      </c>
      <c r="Z48" s="12">
        <f t="shared" si="16"/>
        <v>0</v>
      </c>
      <c r="AC48" s="9" t="str">
        <f t="shared" si="18"/>
        <v>Koessler, Bayley</v>
      </c>
      <c r="AD48" s="14">
        <f t="shared" si="17"/>
        <v>0</v>
      </c>
    </row>
    <row r="49" spans="1:30" x14ac:dyDescent="0.3">
      <c r="A49" s="44" t="s">
        <v>116</v>
      </c>
      <c r="D49" s="40">
        <v>98</v>
      </c>
      <c r="E49" s="41"/>
      <c r="F49" s="41"/>
      <c r="G49" s="41"/>
      <c r="H49" s="42">
        <v>249</v>
      </c>
      <c r="K49" s="41"/>
      <c r="L49" s="46">
        <v>2352</v>
      </c>
      <c r="O49" s="41"/>
      <c r="P49" s="42">
        <v>2.54</v>
      </c>
      <c r="S49" s="47">
        <v>24</v>
      </c>
      <c r="AC49" s="9" t="str">
        <f t="shared" si="18"/>
        <v>Wetsit, Karlos</v>
      </c>
      <c r="AD49" s="14">
        <f t="shared" si="17"/>
        <v>0</v>
      </c>
    </row>
    <row r="50" spans="1:30" x14ac:dyDescent="0.3">
      <c r="A50" s="44" t="s">
        <v>104</v>
      </c>
      <c r="D50" s="40">
        <v>112</v>
      </c>
      <c r="E50" s="41"/>
      <c r="F50" s="41"/>
      <c r="G50" s="41"/>
      <c r="H50" s="42">
        <v>290</v>
      </c>
      <c r="K50" s="41"/>
      <c r="L50" s="46">
        <v>2652.5</v>
      </c>
      <c r="O50" s="41"/>
      <c r="P50" s="42">
        <v>2.59</v>
      </c>
      <c r="S50" s="47">
        <v>23.68</v>
      </c>
      <c r="W50" s="62" t="s">
        <v>93</v>
      </c>
      <c r="X50" s="64"/>
      <c r="Y50" s="28" t="s">
        <v>7</v>
      </c>
      <c r="Z50" s="4">
        <f>(SUM(Y53:Y62)/SUM(X53:X62))</f>
        <v>2.6596596596596598</v>
      </c>
      <c r="AC50" s="9" t="str">
        <f t="shared" si="18"/>
        <v>Lawson, Nick</v>
      </c>
      <c r="AD50" s="14">
        <f t="shared" si="17"/>
        <v>0</v>
      </c>
    </row>
    <row r="51" spans="1:30" x14ac:dyDescent="0.3">
      <c r="A51" s="44" t="s">
        <v>45</v>
      </c>
      <c r="D51" s="40">
        <v>144</v>
      </c>
      <c r="E51" s="41"/>
      <c r="F51" s="41"/>
      <c r="G51" s="41"/>
      <c r="H51" s="42">
        <v>394</v>
      </c>
      <c r="K51" s="41"/>
      <c r="L51" s="46">
        <v>3748.07</v>
      </c>
      <c r="O51" s="41"/>
      <c r="P51" s="42">
        <v>2.74</v>
      </c>
      <c r="S51" s="47">
        <v>26.03</v>
      </c>
      <c r="W51" s="8"/>
      <c r="Z51" s="7"/>
      <c r="AC51" s="9" t="str">
        <f t="shared" si="18"/>
        <v>Hall, Ella</v>
      </c>
      <c r="AD51" s="14">
        <f t="shared" si="17"/>
        <v>0</v>
      </c>
    </row>
    <row r="52" spans="1:30" x14ac:dyDescent="0.3">
      <c r="A52" s="44" t="s">
        <v>46</v>
      </c>
      <c r="D52" s="40">
        <v>45</v>
      </c>
      <c r="E52" s="41"/>
      <c r="F52" s="41"/>
      <c r="G52" s="41"/>
      <c r="H52" s="42">
        <v>135</v>
      </c>
      <c r="K52" s="41"/>
      <c r="L52" s="46">
        <v>1227.28</v>
      </c>
      <c r="O52" s="41"/>
      <c r="P52" s="42">
        <v>3</v>
      </c>
      <c r="S52" s="47">
        <v>27.27</v>
      </c>
      <c r="W52" s="8"/>
      <c r="X52" s="24" t="s">
        <v>52</v>
      </c>
      <c r="Y52" s="24" t="s">
        <v>13</v>
      </c>
      <c r="Z52" s="25" t="s">
        <v>7</v>
      </c>
      <c r="AC52" s="9" t="str">
        <f t="shared" si="18"/>
        <v>Dellinger, Lauren</v>
      </c>
      <c r="AD52" s="14">
        <f t="shared" si="17"/>
        <v>0</v>
      </c>
    </row>
    <row r="53" spans="1:30" x14ac:dyDescent="0.3">
      <c r="A53" s="44" t="s">
        <v>105</v>
      </c>
      <c r="D53" s="40">
        <v>0</v>
      </c>
      <c r="E53" s="41"/>
      <c r="F53" s="41"/>
      <c r="G53" s="41"/>
      <c r="H53" s="42">
        <v>0</v>
      </c>
      <c r="K53" s="41"/>
      <c r="L53" s="42">
        <v>0</v>
      </c>
      <c r="O53" s="41"/>
      <c r="P53" s="42">
        <v>0</v>
      </c>
      <c r="S53" s="40">
        <v>0</v>
      </c>
      <c r="W53" s="9" t="s">
        <v>35</v>
      </c>
      <c r="X53" s="1">
        <f>VLOOKUP(W53,$A$12:$S$65, 4,FALSE)</f>
        <v>30</v>
      </c>
      <c r="Y53" s="1">
        <f>VLOOKUP(W53,$A$12:$S$65, 8,FALSE)</f>
        <v>83</v>
      </c>
      <c r="Z53" s="7">
        <f>VLOOKUP(W53,$A$12:$S$65, 16,FALSE)</f>
        <v>2.77</v>
      </c>
      <c r="AC53" s="9" t="str">
        <f t="shared" si="18"/>
        <v>Admin, AMC</v>
      </c>
      <c r="AD53" s="14">
        <f t="shared" si="17"/>
        <v>0</v>
      </c>
    </row>
    <row r="54" spans="1:30" x14ac:dyDescent="0.3">
      <c r="A54" s="44" t="s">
        <v>47</v>
      </c>
      <c r="D54" s="40">
        <v>244</v>
      </c>
      <c r="E54" s="41"/>
      <c r="F54" s="41"/>
      <c r="G54" s="41"/>
      <c r="H54" s="42">
        <v>711</v>
      </c>
      <c r="K54" s="41"/>
      <c r="L54" s="46">
        <v>6453.62</v>
      </c>
      <c r="O54" s="41"/>
      <c r="P54" s="42">
        <v>2.91</v>
      </c>
      <c r="S54" s="47">
        <v>26.45</v>
      </c>
      <c r="W54" s="45" t="s">
        <v>86</v>
      </c>
      <c r="X54" s="1">
        <f t="shared" ref="X54:X62" si="19">VLOOKUP(W54,$A$12:$S$65, 4,FALSE)</f>
        <v>196</v>
      </c>
      <c r="Y54" s="1">
        <f t="shared" ref="Y54:Y62" si="20">VLOOKUP(W54,$A$12:$S$65, 8,FALSE)</f>
        <v>541</v>
      </c>
      <c r="Z54" s="7">
        <f t="shared" ref="Z54:Z62" si="21">VLOOKUP(W54,$A$12:$S$65, 16,FALSE)</f>
        <v>2.76</v>
      </c>
      <c r="AC54" s="27" t="s">
        <v>66</v>
      </c>
      <c r="AD54" s="16">
        <f>SUM(AD44:AD53)</f>
        <v>1</v>
      </c>
    </row>
    <row r="55" spans="1:30" x14ac:dyDescent="0.3">
      <c r="A55" s="44" t="s">
        <v>76</v>
      </c>
      <c r="D55" s="40">
        <v>112</v>
      </c>
      <c r="E55" s="41"/>
      <c r="F55" s="41"/>
      <c r="G55" s="41"/>
      <c r="H55" s="42">
        <v>296</v>
      </c>
      <c r="K55" s="41"/>
      <c r="L55" s="46">
        <v>2723.69</v>
      </c>
      <c r="O55" s="41"/>
      <c r="P55" s="42">
        <v>2.64</v>
      </c>
      <c r="S55" s="47">
        <v>24.32</v>
      </c>
      <c r="W55" s="45" t="s">
        <v>90</v>
      </c>
      <c r="X55" s="1">
        <f t="shared" si="19"/>
        <v>57</v>
      </c>
      <c r="Y55" s="1">
        <f t="shared" si="20"/>
        <v>162</v>
      </c>
      <c r="Z55" s="7">
        <f t="shared" si="21"/>
        <v>2.84</v>
      </c>
      <c r="AD55" s="3"/>
    </row>
    <row r="56" spans="1:30" x14ac:dyDescent="0.3">
      <c r="A56" s="44" t="s">
        <v>84</v>
      </c>
      <c r="D56" s="40">
        <v>165</v>
      </c>
      <c r="E56" s="41"/>
      <c r="F56" s="41"/>
      <c r="G56" s="41"/>
      <c r="H56" s="42">
        <v>392</v>
      </c>
      <c r="K56" s="41"/>
      <c r="L56" s="46">
        <v>3671.93</v>
      </c>
      <c r="O56" s="41"/>
      <c r="P56" s="42">
        <v>2.38</v>
      </c>
      <c r="S56" s="47">
        <v>22.25</v>
      </c>
      <c r="W56" s="45" t="s">
        <v>40</v>
      </c>
      <c r="X56" s="1">
        <f t="shared" si="19"/>
        <v>34</v>
      </c>
      <c r="Y56" s="1">
        <f t="shared" si="20"/>
        <v>98</v>
      </c>
      <c r="Z56" s="7">
        <f t="shared" si="21"/>
        <v>2.88</v>
      </c>
      <c r="AC56" s="23" t="str">
        <f>W50</f>
        <v>Balloon Boy</v>
      </c>
      <c r="AD56" s="26" t="s">
        <v>58</v>
      </c>
    </row>
    <row r="57" spans="1:30" x14ac:dyDescent="0.3">
      <c r="A57" s="44" t="s">
        <v>74</v>
      </c>
      <c r="D57" s="40">
        <v>168</v>
      </c>
      <c r="E57" s="41"/>
      <c r="F57" s="41"/>
      <c r="G57" s="41"/>
      <c r="H57" s="42">
        <v>466</v>
      </c>
      <c r="K57" s="41"/>
      <c r="L57" s="46">
        <v>4266.95</v>
      </c>
      <c r="O57" s="41"/>
      <c r="P57" s="42">
        <v>2.77</v>
      </c>
      <c r="S57" s="47">
        <v>25.4</v>
      </c>
      <c r="W57" s="45" t="s">
        <v>45</v>
      </c>
      <c r="X57" s="1">
        <f t="shared" si="19"/>
        <v>144</v>
      </c>
      <c r="Y57" s="1">
        <f t="shared" si="20"/>
        <v>394</v>
      </c>
      <c r="Z57" s="7">
        <f t="shared" si="21"/>
        <v>2.74</v>
      </c>
      <c r="AC57" s="9" t="str">
        <f>W53</f>
        <v>Kelly, Ryan</v>
      </c>
      <c r="AD57" s="14">
        <f t="shared" ref="AD57:AD65" si="22">IF(VLOOKUP(AC57,$W:$Z,2,FALSE)&gt;=100,
    IF(VLOOKUP(AC57,$W:$Z,4,FALSE)&gt;$AD$13,
        IF(VLOOKUP(AC57,$W:$Z,4,FALSE)&gt;=$AD$13+0.5,3,
            IF(VLOOKUP(AC57,$W:$Z,4,FALSE)&gt;=$AD$13+0.25,2,1)
        ),
    0),
0)</f>
        <v>0</v>
      </c>
    </row>
    <row r="58" spans="1:30" x14ac:dyDescent="0.3">
      <c r="A58" s="44" t="s">
        <v>110</v>
      </c>
      <c r="D58" s="40">
        <v>0</v>
      </c>
      <c r="E58" s="41"/>
      <c r="F58" s="41"/>
      <c r="G58" s="41"/>
      <c r="H58" s="42">
        <v>0</v>
      </c>
      <c r="K58" s="41"/>
      <c r="L58" s="42">
        <v>0</v>
      </c>
      <c r="O58" s="41"/>
      <c r="P58" s="42">
        <v>0</v>
      </c>
      <c r="S58" s="40">
        <v>0</v>
      </c>
      <c r="V58" s="2"/>
      <c r="W58" s="45" t="s">
        <v>76</v>
      </c>
      <c r="X58" s="1">
        <f t="shared" si="19"/>
        <v>112</v>
      </c>
      <c r="Y58" s="1">
        <f t="shared" si="20"/>
        <v>296</v>
      </c>
      <c r="Z58" s="7">
        <f t="shared" si="21"/>
        <v>2.64</v>
      </c>
      <c r="AC58" s="9" t="str">
        <f>W54</f>
        <v>Isreal, Zeal</v>
      </c>
      <c r="AD58" s="14">
        <f t="shared" si="22"/>
        <v>1</v>
      </c>
    </row>
    <row r="59" spans="1:30" x14ac:dyDescent="0.3">
      <c r="A59" s="44" t="s">
        <v>48</v>
      </c>
      <c r="D59" s="40">
        <v>0</v>
      </c>
      <c r="E59" s="41"/>
      <c r="F59" s="41"/>
      <c r="G59" s="41"/>
      <c r="H59" s="42">
        <v>0</v>
      </c>
      <c r="K59" s="41"/>
      <c r="L59" s="42">
        <v>0</v>
      </c>
      <c r="O59" s="41"/>
      <c r="P59" s="42">
        <v>0</v>
      </c>
      <c r="S59" s="40">
        <v>0</v>
      </c>
      <c r="W59" s="45" t="s">
        <v>84</v>
      </c>
      <c r="X59" s="1">
        <f t="shared" si="19"/>
        <v>165</v>
      </c>
      <c r="Y59" s="1">
        <f t="shared" si="20"/>
        <v>392</v>
      </c>
      <c r="Z59" s="7">
        <f t="shared" si="21"/>
        <v>2.38</v>
      </c>
      <c r="AC59" s="9" t="str">
        <f t="shared" ref="AC59:AC62" si="23">W55</f>
        <v>Lingg, Beckett</v>
      </c>
      <c r="AD59" s="14">
        <f t="shared" si="22"/>
        <v>0</v>
      </c>
    </row>
    <row r="60" spans="1:30" x14ac:dyDescent="0.3">
      <c r="A60" s="44" t="s">
        <v>49</v>
      </c>
      <c r="D60" s="40">
        <v>4</v>
      </c>
      <c r="E60" s="41"/>
      <c r="F60" s="41"/>
      <c r="G60" s="41"/>
      <c r="H60" s="42">
        <v>6</v>
      </c>
      <c r="K60" s="41"/>
      <c r="L60" s="46">
        <v>63.85</v>
      </c>
      <c r="O60" s="41"/>
      <c r="P60" s="42">
        <v>1.5</v>
      </c>
      <c r="S60" s="47">
        <v>15.96</v>
      </c>
      <c r="W60" s="45" t="s">
        <v>77</v>
      </c>
      <c r="X60" s="1">
        <f t="shared" si="19"/>
        <v>127</v>
      </c>
      <c r="Y60" s="1">
        <f t="shared" si="20"/>
        <v>354</v>
      </c>
      <c r="Z60" s="7">
        <f t="shared" si="21"/>
        <v>2.79</v>
      </c>
      <c r="AC60" s="9" t="str">
        <f t="shared" si="23"/>
        <v>McChesney, Jack</v>
      </c>
      <c r="AD60" s="14">
        <f t="shared" si="22"/>
        <v>0</v>
      </c>
    </row>
    <row r="61" spans="1:30" x14ac:dyDescent="0.3">
      <c r="A61" s="44" t="s">
        <v>50</v>
      </c>
      <c r="D61" s="40">
        <v>202</v>
      </c>
      <c r="E61" s="41"/>
      <c r="F61" s="41"/>
      <c r="G61" s="41"/>
      <c r="H61" s="42">
        <v>522</v>
      </c>
      <c r="K61" s="41"/>
      <c r="L61" s="46">
        <v>4938.99</v>
      </c>
      <c r="O61" s="41"/>
      <c r="P61" s="42">
        <v>2.58</v>
      </c>
      <c r="S61" s="47">
        <v>24.45</v>
      </c>
      <c r="V61" s="1" t="s">
        <v>97</v>
      </c>
      <c r="W61" s="45" t="s">
        <v>105</v>
      </c>
      <c r="X61" s="1">
        <f t="shared" si="19"/>
        <v>0</v>
      </c>
      <c r="Y61" s="1">
        <f t="shared" si="20"/>
        <v>0</v>
      </c>
      <c r="Z61" s="7">
        <f t="shared" si="21"/>
        <v>0</v>
      </c>
      <c r="AC61" s="9" t="str">
        <f t="shared" si="23"/>
        <v>Perez-Tellez, Damien</v>
      </c>
      <c r="AD61" s="14">
        <f t="shared" si="22"/>
        <v>0</v>
      </c>
    </row>
    <row r="62" spans="1:30" x14ac:dyDescent="0.3">
      <c r="A62" s="44" t="s">
        <v>51</v>
      </c>
      <c r="D62" s="40">
        <v>75</v>
      </c>
      <c r="E62" s="41"/>
      <c r="F62" s="41"/>
      <c r="G62" s="41"/>
      <c r="H62" s="42">
        <v>197</v>
      </c>
      <c r="K62" s="41"/>
      <c r="L62" s="46">
        <v>1853.26</v>
      </c>
      <c r="O62" s="41"/>
      <c r="P62" s="42">
        <v>2.63</v>
      </c>
      <c r="S62" s="47">
        <v>24.71</v>
      </c>
      <c r="W62" s="61" t="s">
        <v>108</v>
      </c>
      <c r="X62" s="11">
        <f t="shared" si="19"/>
        <v>134</v>
      </c>
      <c r="Y62" s="11">
        <f t="shared" si="20"/>
        <v>337</v>
      </c>
      <c r="Z62" s="12">
        <f t="shared" si="21"/>
        <v>2.5099999999999998</v>
      </c>
      <c r="AC62" s="9" t="str">
        <f t="shared" si="23"/>
        <v>Shteyngart, Jenna</v>
      </c>
      <c r="AD62" s="14">
        <f t="shared" si="22"/>
        <v>0</v>
      </c>
    </row>
    <row r="63" spans="1:30" x14ac:dyDescent="0.3">
      <c r="A63" s="44" t="s">
        <v>77</v>
      </c>
      <c r="D63" s="40">
        <v>127</v>
      </c>
      <c r="E63" s="41"/>
      <c r="F63" s="41"/>
      <c r="G63" s="41"/>
      <c r="H63" s="42">
        <v>354</v>
      </c>
      <c r="K63" s="41"/>
      <c r="L63" s="46">
        <v>3300.43</v>
      </c>
      <c r="O63" s="41"/>
      <c r="P63" s="42">
        <v>2.79</v>
      </c>
      <c r="S63" s="47">
        <v>25.99</v>
      </c>
      <c r="AC63" s="9" t="str">
        <f>W59</f>
        <v>Smith, Anders</v>
      </c>
      <c r="AD63" s="14">
        <f t="shared" si="22"/>
        <v>0</v>
      </c>
    </row>
    <row r="64" spans="1:30" x14ac:dyDescent="0.3">
      <c r="W64" s="62" t="s">
        <v>81</v>
      </c>
      <c r="X64" s="64"/>
      <c r="Y64" s="28" t="s">
        <v>7</v>
      </c>
      <c r="Z64" s="4">
        <f>(SUM(Y67:Y75)/SUM(X67:X75))</f>
        <v>2.8080593849416755</v>
      </c>
      <c r="AC64" s="9" t="str">
        <f>W60</f>
        <v>Zinn Krulewitch, Mari</v>
      </c>
      <c r="AD64" s="14">
        <f t="shared" si="22"/>
        <v>1</v>
      </c>
    </row>
    <row r="65" spans="22:30" x14ac:dyDescent="0.3">
      <c r="W65" s="5"/>
      <c r="X65" s="6"/>
      <c r="Z65" s="7"/>
      <c r="AC65" s="9" t="str">
        <f>W62</f>
        <v>Carpenter, Iris</v>
      </c>
      <c r="AD65" s="14">
        <f t="shared" si="22"/>
        <v>0</v>
      </c>
    </row>
    <row r="66" spans="22:30" x14ac:dyDescent="0.3">
      <c r="W66" s="8"/>
      <c r="X66" s="24" t="s">
        <v>52</v>
      </c>
      <c r="Y66" s="24" t="s">
        <v>13</v>
      </c>
      <c r="Z66" s="25" t="s">
        <v>7</v>
      </c>
      <c r="AC66" s="27" t="s">
        <v>66</v>
      </c>
      <c r="AD66" s="16">
        <f>SUM(AD57:AD65)</f>
        <v>2</v>
      </c>
    </row>
    <row r="67" spans="22:30" x14ac:dyDescent="0.3">
      <c r="W67" s="45" t="s">
        <v>42</v>
      </c>
      <c r="X67" s="1">
        <f>VLOOKUP(W67,$A$12:$S$65, 4,FALSE)</f>
        <v>62</v>
      </c>
      <c r="Y67" s="1">
        <f>VLOOKUP(W67,$A$12:$S$65, 8,FALSE)</f>
        <v>169</v>
      </c>
      <c r="Z67" s="7">
        <f>VLOOKUP(W67,$A$12:$S$65, 16,FALSE)</f>
        <v>2.73</v>
      </c>
      <c r="AD67" s="3"/>
    </row>
    <row r="68" spans="22:30" x14ac:dyDescent="0.3">
      <c r="W68" s="45" t="s">
        <v>21</v>
      </c>
      <c r="X68" s="1">
        <f t="shared" ref="X68:X75" si="24">VLOOKUP(W68,$A$12:$S$65, 4,FALSE)</f>
        <v>206</v>
      </c>
      <c r="Y68" s="1">
        <f t="shared" ref="Y68:Y75" si="25">VLOOKUP(W68,$A$12:$S$65, 8,FALSE)</f>
        <v>593</v>
      </c>
      <c r="Z68" s="7">
        <f t="shared" ref="Z68:Z75" si="26">VLOOKUP(W68,$A$12:$S$65, 16,FALSE)</f>
        <v>2.88</v>
      </c>
      <c r="AC68" s="23" t="str">
        <f>W64</f>
        <v>Foxy</v>
      </c>
      <c r="AD68" s="26" t="s">
        <v>58</v>
      </c>
    </row>
    <row r="69" spans="22:30" x14ac:dyDescent="0.3">
      <c r="W69" s="9" t="s">
        <v>26</v>
      </c>
      <c r="X69" s="1">
        <f t="shared" si="24"/>
        <v>0</v>
      </c>
      <c r="Y69" s="1">
        <f t="shared" si="25"/>
        <v>0</v>
      </c>
      <c r="Z69" s="7">
        <f t="shared" si="26"/>
        <v>0</v>
      </c>
      <c r="AC69" s="9" t="str">
        <f>W67</f>
        <v>Mitchell, Gabe</v>
      </c>
      <c r="AD69" s="14">
        <f t="shared" ref="AD69:AD77" si="27">IF(VLOOKUP(AC69,$W:$Z,2,FALSE)&gt;=100,
    IF(VLOOKUP(AC69,$W:$Z,4,FALSE)&gt;$AD$13,
        IF(VLOOKUP(AC69,$W:$Z,4,FALSE)&gt;=$AD$13+0.5,3,
            IF(VLOOKUP(AC69,$W:$Z,4,FALSE)&gt;=$AD$13+0.25,2,1)
        ),
    0),
0)</f>
        <v>0</v>
      </c>
    </row>
    <row r="70" spans="22:30" x14ac:dyDescent="0.3">
      <c r="W70" s="45" t="s">
        <v>82</v>
      </c>
      <c r="X70" s="1">
        <f t="shared" si="24"/>
        <v>337</v>
      </c>
      <c r="Y70" s="1">
        <f t="shared" si="25"/>
        <v>926</v>
      </c>
      <c r="Z70" s="7">
        <f t="shared" si="26"/>
        <v>2.75</v>
      </c>
      <c r="AC70" s="9" t="str">
        <f>W68</f>
        <v>Alemayehu, Eyouel</v>
      </c>
      <c r="AD70" s="14">
        <f t="shared" si="27"/>
        <v>1</v>
      </c>
    </row>
    <row r="71" spans="22:30" x14ac:dyDescent="0.3">
      <c r="W71" s="9" t="s">
        <v>38</v>
      </c>
      <c r="X71" s="1">
        <f t="shared" si="24"/>
        <v>0</v>
      </c>
      <c r="Y71" s="1">
        <f t="shared" si="25"/>
        <v>0</v>
      </c>
      <c r="Z71" s="7">
        <f t="shared" si="26"/>
        <v>0</v>
      </c>
      <c r="AC71" s="9" t="str">
        <f t="shared" ref="AC71:AC77" si="28">W69</f>
        <v>Delelu, Samra</v>
      </c>
      <c r="AD71" s="14">
        <f t="shared" si="27"/>
        <v>0</v>
      </c>
    </row>
    <row r="72" spans="22:30" x14ac:dyDescent="0.3">
      <c r="W72" s="9" t="s">
        <v>47</v>
      </c>
      <c r="X72" s="1">
        <f t="shared" si="24"/>
        <v>244</v>
      </c>
      <c r="Y72" s="1">
        <f t="shared" si="25"/>
        <v>711</v>
      </c>
      <c r="Z72" s="7">
        <f t="shared" si="26"/>
        <v>2.91</v>
      </c>
      <c r="AC72" s="9" t="str">
        <f t="shared" si="28"/>
        <v>Krause, Daniel</v>
      </c>
      <c r="AD72" s="14">
        <f t="shared" si="27"/>
        <v>1</v>
      </c>
    </row>
    <row r="73" spans="22:30" x14ac:dyDescent="0.3">
      <c r="V73" s="1" t="s">
        <v>98</v>
      </c>
      <c r="W73" s="45" t="s">
        <v>49</v>
      </c>
      <c r="X73" s="1">
        <f t="shared" si="24"/>
        <v>4</v>
      </c>
      <c r="Y73" s="1">
        <f t="shared" si="25"/>
        <v>6</v>
      </c>
      <c r="Z73" s="7">
        <f t="shared" si="26"/>
        <v>1.5</v>
      </c>
      <c r="AC73" s="9" t="str">
        <f t="shared" si="28"/>
        <v>Lopez, Matthew</v>
      </c>
      <c r="AD73" s="14">
        <f t="shared" si="27"/>
        <v>0</v>
      </c>
    </row>
    <row r="74" spans="22:30" x14ac:dyDescent="0.3">
      <c r="V74" s="1" t="s">
        <v>99</v>
      </c>
      <c r="W74" s="45" t="s">
        <v>109</v>
      </c>
      <c r="X74" s="1">
        <f t="shared" si="24"/>
        <v>90</v>
      </c>
      <c r="Y74" s="1">
        <f t="shared" si="25"/>
        <v>243</v>
      </c>
      <c r="Z74" s="7">
        <f t="shared" si="26"/>
        <v>2.7</v>
      </c>
      <c r="AC74" s="9" t="str">
        <f t="shared" si="28"/>
        <v>Santaella, Adriana</v>
      </c>
      <c r="AD74" s="14">
        <f t="shared" si="27"/>
        <v>1</v>
      </c>
    </row>
    <row r="75" spans="22:30" x14ac:dyDescent="0.3">
      <c r="W75" s="61" t="s">
        <v>116</v>
      </c>
      <c r="X75" s="11">
        <f t="shared" si="24"/>
        <v>0</v>
      </c>
      <c r="Y75" s="11">
        <f t="shared" si="25"/>
        <v>0</v>
      </c>
      <c r="Z75" s="12">
        <f t="shared" si="26"/>
        <v>0</v>
      </c>
      <c r="AC75" s="9" t="str">
        <f t="shared" si="28"/>
        <v xml:space="preserve">Woodke, Jeralyn </v>
      </c>
      <c r="AD75" s="14">
        <f t="shared" si="27"/>
        <v>0</v>
      </c>
    </row>
    <row r="76" spans="22:30" x14ac:dyDescent="0.3">
      <c r="AC76" s="9" t="str">
        <f t="shared" si="28"/>
        <v>Mead, Emily</v>
      </c>
      <c r="AD76" s="14">
        <f t="shared" si="27"/>
        <v>0</v>
      </c>
    </row>
    <row r="77" spans="22:30" x14ac:dyDescent="0.3">
      <c r="AC77" s="9" t="str">
        <f t="shared" si="28"/>
        <v>Parshall, Cameron</v>
      </c>
      <c r="AD77" s="14">
        <f t="shared" si="27"/>
        <v>0</v>
      </c>
    </row>
    <row r="78" spans="22:30" x14ac:dyDescent="0.3">
      <c r="AC78" s="27" t="s">
        <v>66</v>
      </c>
      <c r="AD78" s="16">
        <f>SUM(AD69:AD77)</f>
        <v>3</v>
      </c>
    </row>
  </sheetData>
  <mergeCells count="11">
    <mergeCell ref="W22:X22"/>
    <mergeCell ref="AG30:AH30"/>
    <mergeCell ref="W36:X36"/>
    <mergeCell ref="W50:X50"/>
    <mergeCell ref="W64:X64"/>
    <mergeCell ref="AG21:AH21"/>
    <mergeCell ref="AG7:AH7"/>
    <mergeCell ref="AK7:AP7"/>
    <mergeCell ref="W8:X8"/>
    <mergeCell ref="AG13:AH13"/>
    <mergeCell ref="AM15:AN1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71A8-53D6-4170-8CB2-85C617FDDD6F}">
  <dimension ref="A1:AP78"/>
  <sheetViews>
    <sheetView tabSelected="1" zoomScale="50" zoomScaleNormal="50" workbookViewId="0">
      <selection activeCell="Y9" sqref="Y9"/>
    </sheetView>
  </sheetViews>
  <sheetFormatPr defaultColWidth="9.109375" defaultRowHeight="14.4" x14ac:dyDescent="0.3"/>
  <cols>
    <col min="1" max="1" width="21.5546875" customWidth="1"/>
    <col min="2" max="2" width="7.5546875" customWidth="1"/>
    <col min="3" max="3" width="3.44140625" customWidth="1"/>
    <col min="4" max="4" width="5.109375" customWidth="1"/>
    <col min="5" max="5" width="2.5546875" customWidth="1"/>
    <col min="6" max="6" width="3.6640625" customWidth="1"/>
    <col min="7" max="7" width="6" customWidth="1"/>
    <col min="8" max="8" width="6.88671875" customWidth="1"/>
    <col min="9" max="9" width="5.6640625" bestFit="1" customWidth="1"/>
    <col min="10" max="10" width="4" customWidth="1"/>
    <col min="11" max="11" width="2.109375" customWidth="1"/>
    <col min="12" max="12" width="10.33203125" bestFit="1" customWidth="1"/>
    <col min="13" max="13" width="3" customWidth="1"/>
    <col min="14" max="14" width="3.88671875" customWidth="1"/>
    <col min="15" max="15" width="6.33203125" customWidth="1"/>
    <col min="16" max="16" width="5.6640625" bestFit="1" customWidth="1"/>
    <col min="17" max="17" width="9" customWidth="1"/>
    <col min="18" max="18" width="10.5546875" customWidth="1"/>
    <col min="19" max="19" width="10.6640625" customWidth="1"/>
    <col min="20" max="22" width="9.109375" style="1"/>
    <col min="23" max="23" width="19.33203125" style="1" bestFit="1" customWidth="1"/>
    <col min="24" max="24" width="15.5546875" style="1" bestFit="1" customWidth="1"/>
    <col min="25" max="25" width="18.33203125" style="1" bestFit="1" customWidth="1"/>
    <col min="26" max="26" width="21.33203125" style="1" bestFit="1" customWidth="1"/>
    <col min="27" max="28" width="9.109375" style="1"/>
    <col min="29" max="29" width="19.33203125" style="1" bestFit="1" customWidth="1"/>
    <col min="30" max="30" width="16.109375" style="1" customWidth="1"/>
    <col min="31" max="31" width="9.109375" style="3"/>
    <col min="32" max="32" width="9.109375" style="1"/>
    <col min="33" max="33" width="18.88671875" style="1" customWidth="1"/>
    <col min="34" max="34" width="20" style="1" customWidth="1"/>
    <col min="35" max="36" width="9.109375" style="1"/>
    <col min="37" max="37" width="15" style="1" bestFit="1" customWidth="1"/>
    <col min="38" max="38" width="14.44140625" style="1" bestFit="1" customWidth="1"/>
    <col min="39" max="39" width="23.5546875" style="1" bestFit="1" customWidth="1"/>
    <col min="40" max="40" width="30.109375" style="1" bestFit="1" customWidth="1"/>
    <col min="41" max="41" width="13.33203125" style="1" bestFit="1" customWidth="1"/>
    <col min="42" max="42" width="11.44140625" style="1" bestFit="1" customWidth="1"/>
    <col min="43" max="16384" width="9.109375" style="1"/>
  </cols>
  <sheetData>
    <row r="1" spans="1:42" ht="17.399999999999999" x14ac:dyDescent="0.3">
      <c r="A1" s="29" t="s">
        <v>2</v>
      </c>
      <c r="B1" s="30"/>
      <c r="F1" s="31" t="s">
        <v>1</v>
      </c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42" x14ac:dyDescent="0.3">
      <c r="A2" s="29" t="s">
        <v>0</v>
      </c>
      <c r="B2" s="30"/>
    </row>
    <row r="3" spans="1:42" x14ac:dyDescent="0.3">
      <c r="A3" s="29" t="s">
        <v>3</v>
      </c>
      <c r="B3" s="30"/>
    </row>
    <row r="4" spans="1:42" x14ac:dyDescent="0.3">
      <c r="A4" s="29" t="s">
        <v>14</v>
      </c>
      <c r="B4" s="30"/>
      <c r="F4" s="33" t="s">
        <v>120</v>
      </c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</row>
    <row r="5" spans="1:42" x14ac:dyDescent="0.3">
      <c r="A5" s="29" t="s">
        <v>4</v>
      </c>
      <c r="B5" s="30"/>
      <c r="F5" s="33" t="s">
        <v>5</v>
      </c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42" ht="15" thickBot="1" x14ac:dyDescent="0.35">
      <c r="A6" s="29" t="s">
        <v>6</v>
      </c>
      <c r="B6" s="30"/>
    </row>
    <row r="7" spans="1:42" x14ac:dyDescent="0.3">
      <c r="M7" s="35" t="s">
        <v>15</v>
      </c>
      <c r="N7" s="36"/>
      <c r="O7" s="36"/>
      <c r="P7" s="36"/>
      <c r="AC7" s="54" t="s">
        <v>87</v>
      </c>
      <c r="AD7" s="55" t="s">
        <v>7</v>
      </c>
      <c r="AE7" s="53" t="s">
        <v>88</v>
      </c>
      <c r="AG7" s="62" t="s">
        <v>67</v>
      </c>
      <c r="AH7" s="63"/>
      <c r="AK7" s="62" t="s">
        <v>57</v>
      </c>
      <c r="AL7" s="64"/>
      <c r="AM7" s="64"/>
      <c r="AN7" s="64"/>
      <c r="AO7" s="64"/>
      <c r="AP7" s="63"/>
    </row>
    <row r="8" spans="1:42" x14ac:dyDescent="0.3">
      <c r="I8" s="37" t="s">
        <v>7</v>
      </c>
      <c r="M8" s="35" t="s">
        <v>16</v>
      </c>
      <c r="N8" s="36"/>
      <c r="O8" s="36"/>
      <c r="P8" s="36"/>
      <c r="W8" s="62" t="s">
        <v>78</v>
      </c>
      <c r="X8" s="64"/>
      <c r="Y8" s="28" t="s">
        <v>7</v>
      </c>
      <c r="Z8" s="4">
        <f>(SUM(Y11:Y20)/SUM(X11:X20))</f>
        <v>2.5762426284751476</v>
      </c>
      <c r="AC8" s="48" t="str">
        <f>W8</f>
        <v>Chica</v>
      </c>
      <c r="AD8" s="1">
        <f>Z8</f>
        <v>2.5762426284751476</v>
      </c>
      <c r="AE8" s="49">
        <f>SUM(X11:X20)</f>
        <v>1187</v>
      </c>
      <c r="AG8" s="8" t="s">
        <v>53</v>
      </c>
      <c r="AH8" s="7" t="str">
        <f>INDEX($AC$8:$AC$12, MATCH(LARGE($AD$8:$AD$12, 1), $AD$8:$AD$12, 0))</f>
        <v>Freddy</v>
      </c>
      <c r="AK8" s="18"/>
      <c r="AL8" s="19" t="s">
        <v>60</v>
      </c>
      <c r="AM8" s="19" t="s">
        <v>62</v>
      </c>
      <c r="AN8" s="19" t="s">
        <v>63</v>
      </c>
      <c r="AO8" s="19" t="s">
        <v>61</v>
      </c>
      <c r="AP8" s="22" t="s">
        <v>64</v>
      </c>
    </row>
    <row r="9" spans="1:42" x14ac:dyDescent="0.3">
      <c r="D9" s="38"/>
      <c r="E9" s="38"/>
      <c r="F9" s="38"/>
      <c r="G9" s="39" t="s">
        <v>9</v>
      </c>
      <c r="I9" s="40">
        <v>2.6</v>
      </c>
      <c r="N9" s="41"/>
      <c r="O9" s="42" t="s">
        <v>121</v>
      </c>
      <c r="W9" s="5"/>
      <c r="X9" s="6"/>
      <c r="Z9" s="7"/>
      <c r="AC9" s="48" t="str">
        <f>W22</f>
        <v>Bonnie</v>
      </c>
      <c r="AD9" s="1">
        <f>Z22</f>
        <v>2.6351145038167938</v>
      </c>
      <c r="AE9" s="49">
        <f>SUM(X25:X34)</f>
        <v>655</v>
      </c>
      <c r="AG9" s="8" t="s">
        <v>54</v>
      </c>
      <c r="AH9" s="7" t="str">
        <f>INDEX($AC$8:$AC$12, MATCH(LARGE($AD$8:$AD$12, 2), $AD$8:$AD$12, 0))</f>
        <v>Bonnie</v>
      </c>
      <c r="AK9" s="13" t="str">
        <f>W8</f>
        <v>Chica</v>
      </c>
      <c r="AL9" s="3">
        <f>'Week 5'!AP9</f>
        <v>20</v>
      </c>
      <c r="AM9" s="3">
        <f>AD28</f>
        <v>4</v>
      </c>
      <c r="AN9" s="3">
        <f>AH31</f>
        <v>0</v>
      </c>
      <c r="AO9" s="3">
        <f>AH14</f>
        <v>1</v>
      </c>
      <c r="AP9" s="14">
        <f>SUM(AL9:AO9)</f>
        <v>25</v>
      </c>
    </row>
    <row r="10" spans="1:42" x14ac:dyDescent="0.3">
      <c r="B10" s="38"/>
      <c r="C10" s="38"/>
      <c r="D10" s="39" t="s">
        <v>11</v>
      </c>
      <c r="W10" s="8"/>
      <c r="X10" s="24" t="s">
        <v>52</v>
      </c>
      <c r="Y10" s="24" t="s">
        <v>13</v>
      </c>
      <c r="Z10" s="25" t="s">
        <v>7</v>
      </c>
      <c r="AC10" s="48" t="str">
        <f>W36</f>
        <v>Freddy</v>
      </c>
      <c r="AD10" s="1">
        <f>Z36</f>
        <v>2.6836215666327567</v>
      </c>
      <c r="AE10" s="49">
        <f>SUM(X39:X48)</f>
        <v>983</v>
      </c>
      <c r="AG10" s="17" t="s">
        <v>55</v>
      </c>
      <c r="AH10" s="12" t="str">
        <f>INDEX($AC$8:$AC$12, MATCH(LARGE($AD$8:$AD$12, 3), $AD$8:$AD$12, 0))</f>
        <v>Chica</v>
      </c>
      <c r="AK10" s="13" t="str">
        <f>W22</f>
        <v>Bonnie</v>
      </c>
      <c r="AL10" s="3">
        <f>'Week 5'!AP10</f>
        <v>16</v>
      </c>
      <c r="AM10" s="3">
        <f>AD41</f>
        <v>0</v>
      </c>
      <c r="AN10" s="3">
        <f t="shared" ref="AN10:AN12" si="0">AH32</f>
        <v>0</v>
      </c>
      <c r="AO10" s="3">
        <f>AH15</f>
        <v>2</v>
      </c>
      <c r="AP10" s="14">
        <f t="shared" ref="AP10:AP13" si="1">SUM(AL10:AO10)</f>
        <v>18</v>
      </c>
    </row>
    <row r="11" spans="1:42" x14ac:dyDescent="0.3">
      <c r="A11" s="43" t="s">
        <v>12</v>
      </c>
      <c r="B11" s="38"/>
      <c r="C11" s="38"/>
      <c r="D11" s="38"/>
      <c r="G11" s="39" t="s">
        <v>13</v>
      </c>
      <c r="H11" s="38"/>
      <c r="I11" s="38"/>
      <c r="J11" s="38"/>
      <c r="K11" s="39" t="s">
        <v>10</v>
      </c>
      <c r="L11" s="38"/>
      <c r="M11" s="38"/>
      <c r="O11" s="38"/>
      <c r="P11" s="39" t="s">
        <v>7</v>
      </c>
      <c r="R11" s="38"/>
      <c r="S11" s="39" t="s">
        <v>8</v>
      </c>
      <c r="W11" s="9" t="s">
        <v>37</v>
      </c>
      <c r="X11" s="1">
        <f>VLOOKUP(W11,$A$12:$S$65, 4,FALSE)</f>
        <v>102</v>
      </c>
      <c r="Y11" s="1">
        <f>VLOOKUP(W11,$A$12:$S$65, 8,FALSE)</f>
        <v>279</v>
      </c>
      <c r="Z11" s="7">
        <f>VLOOKUP(W11,$A$12:$S$65, 16,FALSE)</f>
        <v>2.74</v>
      </c>
      <c r="AC11" s="48" t="str">
        <f>W50</f>
        <v>Balloon Boy</v>
      </c>
      <c r="AD11" s="1">
        <f>Z50</f>
        <v>2.5337591240875912</v>
      </c>
      <c r="AE11" s="49">
        <f>SUM(X53:X62)</f>
        <v>1096</v>
      </c>
      <c r="AK11" s="13" t="str">
        <f>W36</f>
        <v>Freddy</v>
      </c>
      <c r="AL11" s="3">
        <f>'Week 5'!AP11</f>
        <v>14</v>
      </c>
      <c r="AM11" s="3">
        <f>AD54</f>
        <v>4</v>
      </c>
      <c r="AN11" s="3">
        <f t="shared" si="0"/>
        <v>1</v>
      </c>
      <c r="AO11" s="3">
        <f>AH16</f>
        <v>3</v>
      </c>
      <c r="AP11" s="14">
        <f t="shared" si="1"/>
        <v>22</v>
      </c>
    </row>
    <row r="12" spans="1:42" x14ac:dyDescent="0.3">
      <c r="A12" s="44" t="s">
        <v>17</v>
      </c>
      <c r="D12" s="40">
        <v>0</v>
      </c>
      <c r="E12" s="41"/>
      <c r="F12" s="41"/>
      <c r="G12" s="41"/>
      <c r="H12" s="42">
        <v>0</v>
      </c>
      <c r="K12" s="41"/>
      <c r="L12" s="42">
        <v>0</v>
      </c>
      <c r="O12" s="41"/>
      <c r="P12" s="42">
        <v>0</v>
      </c>
      <c r="S12" s="40">
        <v>0</v>
      </c>
      <c r="W12" s="9" t="s">
        <v>22</v>
      </c>
      <c r="X12" s="1">
        <f t="shared" ref="X12:X20" si="2">VLOOKUP(W12,$A$12:$S$65, 4,FALSE)</f>
        <v>166</v>
      </c>
      <c r="Y12" s="1">
        <f t="shared" ref="Y12:Y20" si="3">VLOOKUP(W12,$A$12:$S$65, 8,FALSE)</f>
        <v>421</v>
      </c>
      <c r="Z12" s="7">
        <f t="shared" ref="Z12:Z20" si="4">VLOOKUP(W12,$A$12:$S$65, 16,FALSE)</f>
        <v>2.54</v>
      </c>
      <c r="AC12" s="48" t="str">
        <f>W64</f>
        <v>Foxy</v>
      </c>
      <c r="AD12" s="1">
        <f>Z64</f>
        <v>2.5578947368421052</v>
      </c>
      <c r="AE12" s="49">
        <f>SUM(X67:X75)</f>
        <v>475</v>
      </c>
      <c r="AK12" s="13" t="str">
        <f>W50</f>
        <v>Balloon Boy</v>
      </c>
      <c r="AL12" s="3">
        <f>'Week 5'!AP12</f>
        <v>16</v>
      </c>
      <c r="AM12" s="3">
        <f>AD66</f>
        <v>1</v>
      </c>
      <c r="AN12" s="3">
        <f t="shared" si="0"/>
        <v>0</v>
      </c>
      <c r="AO12" s="3">
        <f>AH17</f>
        <v>0</v>
      </c>
      <c r="AP12" s="14">
        <f t="shared" si="1"/>
        <v>17</v>
      </c>
    </row>
    <row r="13" spans="1:42" ht="15" thickBot="1" x14ac:dyDescent="0.35">
      <c r="A13" s="44" t="s">
        <v>18</v>
      </c>
      <c r="D13" s="40">
        <v>0</v>
      </c>
      <c r="E13" s="41"/>
      <c r="F13" s="41"/>
      <c r="G13" s="41"/>
      <c r="H13" s="42">
        <v>0</v>
      </c>
      <c r="K13" s="41"/>
      <c r="L13" s="42">
        <v>0</v>
      </c>
      <c r="O13" s="41"/>
      <c r="P13" s="42">
        <v>0</v>
      </c>
      <c r="S13" s="40">
        <v>0</v>
      </c>
      <c r="W13" s="45" t="s">
        <v>75</v>
      </c>
      <c r="X13" s="1">
        <f t="shared" si="2"/>
        <v>345</v>
      </c>
      <c r="Y13" s="1">
        <f t="shared" si="3"/>
        <v>913</v>
      </c>
      <c r="Z13" s="7">
        <f t="shared" si="4"/>
        <v>2.65</v>
      </c>
      <c r="AC13" s="50" t="s">
        <v>59</v>
      </c>
      <c r="AD13" s="51">
        <f>I9</f>
        <v>2.6</v>
      </c>
      <c r="AE13" s="52">
        <f>SUM(D12:D65)</f>
        <v>4585</v>
      </c>
      <c r="AG13" s="65" t="s">
        <v>65</v>
      </c>
      <c r="AH13" s="66"/>
      <c r="AK13" s="15" t="str">
        <f>W64</f>
        <v>Foxy</v>
      </c>
      <c r="AL13" s="21">
        <f>'Week 5'!AP13</f>
        <v>10</v>
      </c>
      <c r="AM13" s="21">
        <f>AD78</f>
        <v>0</v>
      </c>
      <c r="AN13" s="21">
        <f>AH35</f>
        <v>0</v>
      </c>
      <c r="AO13" s="21">
        <f>AH18</f>
        <v>0</v>
      </c>
      <c r="AP13" s="16">
        <f t="shared" si="1"/>
        <v>10</v>
      </c>
    </row>
    <row r="14" spans="1:42" x14ac:dyDescent="0.3">
      <c r="A14" s="44" t="s">
        <v>19</v>
      </c>
      <c r="D14" s="40">
        <v>0</v>
      </c>
      <c r="E14" s="41"/>
      <c r="F14" s="41"/>
      <c r="G14" s="41"/>
      <c r="H14" s="42">
        <v>0</v>
      </c>
      <c r="K14" s="41"/>
      <c r="L14" s="42">
        <v>0</v>
      </c>
      <c r="O14" s="41"/>
      <c r="P14" s="42">
        <v>0</v>
      </c>
      <c r="S14" s="40">
        <v>0</v>
      </c>
      <c r="W14" s="9" t="s">
        <v>30</v>
      </c>
      <c r="X14" s="1">
        <f t="shared" si="2"/>
        <v>3</v>
      </c>
      <c r="Y14" s="1">
        <f t="shared" si="3"/>
        <v>9</v>
      </c>
      <c r="Z14" s="7">
        <f t="shared" si="4"/>
        <v>3</v>
      </c>
      <c r="AG14" s="13" t="str">
        <f>W8</f>
        <v>Chica</v>
      </c>
      <c r="AH14" s="14">
        <f>IF(AG14=$AH$8,3,IF(AG14=$AH$9,2,IF(AG14=$AH$10,1,0)))</f>
        <v>1</v>
      </c>
    </row>
    <row r="15" spans="1:42" x14ac:dyDescent="0.3">
      <c r="A15" s="44" t="s">
        <v>20</v>
      </c>
      <c r="D15" s="40">
        <v>136</v>
      </c>
      <c r="E15" s="41"/>
      <c r="F15" s="41"/>
      <c r="G15" s="41"/>
      <c r="H15" s="42">
        <v>369</v>
      </c>
      <c r="K15" s="41"/>
      <c r="L15" s="46">
        <v>3423.2</v>
      </c>
      <c r="O15" s="41"/>
      <c r="P15" s="42">
        <v>2.71</v>
      </c>
      <c r="S15" s="47">
        <v>25.17</v>
      </c>
      <c r="W15" s="9" t="s">
        <v>34</v>
      </c>
      <c r="X15" s="1">
        <f t="shared" si="2"/>
        <v>205</v>
      </c>
      <c r="Y15" s="1">
        <f t="shared" si="3"/>
        <v>485</v>
      </c>
      <c r="Z15" s="7">
        <f t="shared" si="4"/>
        <v>2.37</v>
      </c>
      <c r="AG15" s="13" t="str">
        <f>W22</f>
        <v>Bonnie</v>
      </c>
      <c r="AH15" s="14">
        <f t="shared" ref="AH15:AH18" si="5">IF(AG15=$AH$8,3,IF(AG15=$AH$9,2,IF(AG15=$AH$10,1,0)))</f>
        <v>2</v>
      </c>
      <c r="AM15" s="62" t="s">
        <v>68</v>
      </c>
      <c r="AN15" s="63"/>
    </row>
    <row r="16" spans="1:42" x14ac:dyDescent="0.3">
      <c r="A16" s="44" t="s">
        <v>21</v>
      </c>
      <c r="D16" s="40">
        <v>72</v>
      </c>
      <c r="E16" s="41"/>
      <c r="F16" s="41"/>
      <c r="G16" s="41"/>
      <c r="H16" s="42">
        <v>213</v>
      </c>
      <c r="K16" s="41"/>
      <c r="L16" s="46">
        <v>1956.93</v>
      </c>
      <c r="O16" s="41"/>
      <c r="P16" s="42">
        <v>2.96</v>
      </c>
      <c r="S16" s="47">
        <v>27.18</v>
      </c>
      <c r="W16" s="9" t="s">
        <v>39</v>
      </c>
      <c r="X16" s="1">
        <f t="shared" si="2"/>
        <v>101</v>
      </c>
      <c r="Y16" s="1">
        <f t="shared" si="3"/>
        <v>269</v>
      </c>
      <c r="Z16" s="7">
        <f t="shared" si="4"/>
        <v>2.66</v>
      </c>
      <c r="AG16" s="13" t="str">
        <f>W36</f>
        <v>Freddy</v>
      </c>
      <c r="AH16" s="14">
        <f t="shared" si="5"/>
        <v>3</v>
      </c>
      <c r="AM16" s="8" t="s">
        <v>69</v>
      </c>
      <c r="AN16" s="7" t="str">
        <f>INDEX($AK$9:$AK$13, MATCH(LARGE($AP$9:$AP$13, 1), $AP$9:$AP$13, 0))</f>
        <v>Chica</v>
      </c>
    </row>
    <row r="17" spans="1:40" x14ac:dyDescent="0.3">
      <c r="A17" s="44" t="s">
        <v>22</v>
      </c>
      <c r="D17" s="40">
        <v>166</v>
      </c>
      <c r="E17" s="41"/>
      <c r="F17" s="41"/>
      <c r="G17" s="41"/>
      <c r="H17" s="42">
        <v>421</v>
      </c>
      <c r="K17" s="41"/>
      <c r="L17" s="46">
        <v>3893.01</v>
      </c>
      <c r="O17" s="41"/>
      <c r="P17" s="42">
        <v>2.54</v>
      </c>
      <c r="S17" s="47">
        <v>23.45</v>
      </c>
      <c r="W17" s="9" t="s">
        <v>43</v>
      </c>
      <c r="X17" s="1">
        <f t="shared" si="2"/>
        <v>4</v>
      </c>
      <c r="Y17" s="1">
        <f t="shared" si="3"/>
        <v>13</v>
      </c>
      <c r="Z17" s="7">
        <f t="shared" si="4"/>
        <v>3.25</v>
      </c>
      <c r="AC17" s="23" t="str">
        <f>W8</f>
        <v>Chica</v>
      </c>
      <c r="AD17" s="26" t="s">
        <v>58</v>
      </c>
      <c r="AG17" s="13" t="str">
        <f>W50</f>
        <v>Balloon Boy</v>
      </c>
      <c r="AH17" s="14">
        <f t="shared" si="5"/>
        <v>0</v>
      </c>
      <c r="AM17" s="8" t="s">
        <v>70</v>
      </c>
      <c r="AN17" s="7" t="str">
        <f>INDEX($AK$9:$AK$13, MATCH(LARGE($AP$9:$AP$13, 2), $AP$9:$AP$13, 0))</f>
        <v>Freddy</v>
      </c>
    </row>
    <row r="18" spans="1:40" x14ac:dyDescent="0.3">
      <c r="A18" s="44" t="s">
        <v>75</v>
      </c>
      <c r="D18" s="40">
        <v>345</v>
      </c>
      <c r="E18" s="41"/>
      <c r="F18" s="41"/>
      <c r="G18" s="41"/>
      <c r="H18" s="42">
        <v>913</v>
      </c>
      <c r="K18" s="41"/>
      <c r="L18" s="46">
        <v>8305.6200000000008</v>
      </c>
      <c r="O18" s="41"/>
      <c r="P18" s="42">
        <v>2.65</v>
      </c>
      <c r="S18" s="47">
        <v>24.07</v>
      </c>
      <c r="W18" s="9" t="s">
        <v>104</v>
      </c>
      <c r="X18" s="1">
        <f t="shared" si="2"/>
        <v>65</v>
      </c>
      <c r="Y18" s="1">
        <f t="shared" si="3"/>
        <v>153</v>
      </c>
      <c r="Z18" s="7">
        <f t="shared" si="4"/>
        <v>2.35</v>
      </c>
      <c r="AC18" s="9" t="str">
        <f>W11</f>
        <v>Lopez, Ebony</v>
      </c>
      <c r="AD18" s="14">
        <f>IF(VLOOKUP(AC18,$W:$Z,2,FALSE)&gt;=100,
    IF(VLOOKUP(AC18,$W:$Z,4,FALSE)&gt;$AD$13,
        IF(VLOOKUP(AC18,$W:$Z,4,FALSE)&gt;=$AD$13+0.5,3,
            IF(VLOOKUP(AC18,$W:$Z,4,FALSE)&gt;=$AD$13+0.25,2,1)
        ),
    0),
0)</f>
        <v>1</v>
      </c>
      <c r="AG18" s="15" t="str">
        <f>W64</f>
        <v>Foxy</v>
      </c>
      <c r="AH18" s="16">
        <f t="shared" si="5"/>
        <v>0</v>
      </c>
      <c r="AM18" s="8" t="s">
        <v>71</v>
      </c>
      <c r="AN18" s="7" t="str">
        <f>INDEX($AK$9:$AK$13, MATCH(LARGE($AP$9:$AP$13, 3), $AP$9:$AP$13, 0))</f>
        <v>Bonnie</v>
      </c>
    </row>
    <row r="19" spans="1:40" x14ac:dyDescent="0.3">
      <c r="A19" s="44" t="s">
        <v>108</v>
      </c>
      <c r="D19" s="40">
        <v>153</v>
      </c>
      <c r="E19" s="41"/>
      <c r="F19" s="41"/>
      <c r="G19" s="41"/>
      <c r="H19" s="42">
        <v>375</v>
      </c>
      <c r="K19" s="41"/>
      <c r="L19" s="46">
        <v>3410.96</v>
      </c>
      <c r="O19" s="41"/>
      <c r="P19" s="42">
        <v>2.4500000000000002</v>
      </c>
      <c r="S19" s="47">
        <v>22.29</v>
      </c>
      <c r="W19" s="9" t="s">
        <v>74</v>
      </c>
      <c r="X19" s="1">
        <f t="shared" si="2"/>
        <v>0</v>
      </c>
      <c r="Y19" s="1">
        <f t="shared" si="3"/>
        <v>0</v>
      </c>
      <c r="Z19" s="7">
        <f t="shared" si="4"/>
        <v>0</v>
      </c>
      <c r="AC19" s="9" t="str">
        <f>W12</f>
        <v>Allen, Wren</v>
      </c>
      <c r="AD19" s="14">
        <f t="shared" ref="AD19:AD27" si="6">IF(VLOOKUP(AC19,$W:$Z,2,FALSE)&gt;=100,
    IF(VLOOKUP(AC19,$W:$Z,4,FALSE)&gt;$AD$13,
        IF(VLOOKUP(AC19,$W:$Z,4,FALSE)&gt;=$AD$13+0.5,3,
            IF(VLOOKUP(AC19,$W:$Z,4,FALSE)&gt;=$AD$13+0.25,2,1)
        ),
    0),
0)</f>
        <v>0</v>
      </c>
      <c r="AM19" s="8" t="s">
        <v>72</v>
      </c>
      <c r="AN19" s="7" t="str">
        <f>INDEX($AK$9:$AK$13, MATCH(LARGE($AP$9:$AP$13, 4), $AP$9:$AP$13, 0))</f>
        <v>Balloon Boy</v>
      </c>
    </row>
    <row r="20" spans="1:40" x14ac:dyDescent="0.3">
      <c r="A20" s="44" t="s">
        <v>24</v>
      </c>
      <c r="D20" s="40">
        <v>0</v>
      </c>
      <c r="E20" s="41"/>
      <c r="F20" s="41"/>
      <c r="G20" s="41"/>
      <c r="H20" s="42">
        <v>0</v>
      </c>
      <c r="K20" s="41"/>
      <c r="L20" s="42">
        <v>0</v>
      </c>
      <c r="O20" s="41"/>
      <c r="P20" s="42">
        <v>0</v>
      </c>
      <c r="S20" s="40">
        <v>0</v>
      </c>
      <c r="V20" s="1" t="s">
        <v>101</v>
      </c>
      <c r="W20" s="61" t="s">
        <v>119</v>
      </c>
      <c r="X20" s="11">
        <f t="shared" si="2"/>
        <v>196</v>
      </c>
      <c r="Y20" s="11">
        <f t="shared" si="3"/>
        <v>516</v>
      </c>
      <c r="Z20" s="12">
        <f t="shared" si="4"/>
        <v>2.63</v>
      </c>
      <c r="AC20" s="9" t="str">
        <f t="shared" ref="AC20:AC25" si="7">W13</f>
        <v>Araya, Kidane</v>
      </c>
      <c r="AD20" s="14">
        <f t="shared" si="6"/>
        <v>1</v>
      </c>
      <c r="AM20" s="17" t="s">
        <v>73</v>
      </c>
      <c r="AN20" s="12" t="str">
        <f>INDEX($AK$9:$AK$13, MATCH(LARGE($AP$9:$AP$13, 5), $AP$9:$AP$13, 0))</f>
        <v>Foxy</v>
      </c>
    </row>
    <row r="21" spans="1:40" x14ac:dyDescent="0.3">
      <c r="A21" s="44" t="s">
        <v>25</v>
      </c>
      <c r="D21" s="40">
        <v>27</v>
      </c>
      <c r="E21" s="41"/>
      <c r="F21" s="41"/>
      <c r="G21" s="41"/>
      <c r="H21" s="42">
        <v>71</v>
      </c>
      <c r="K21" s="41"/>
      <c r="L21" s="46">
        <v>662.86</v>
      </c>
      <c r="O21" s="41"/>
      <c r="P21" s="42">
        <v>2.63</v>
      </c>
      <c r="S21" s="47">
        <v>24.55</v>
      </c>
      <c r="AC21" s="9" t="str">
        <f t="shared" si="7"/>
        <v>Gemmer, Jake</v>
      </c>
      <c r="AD21" s="14">
        <f t="shared" si="6"/>
        <v>0</v>
      </c>
      <c r="AG21" s="62" t="s">
        <v>91</v>
      </c>
      <c r="AH21" s="63"/>
    </row>
    <row r="22" spans="1:40" x14ac:dyDescent="0.3">
      <c r="A22" s="44" t="s">
        <v>26</v>
      </c>
      <c r="D22" s="40">
        <v>0</v>
      </c>
      <c r="E22" s="41"/>
      <c r="F22" s="41"/>
      <c r="G22" s="41"/>
      <c r="H22" s="42">
        <v>0</v>
      </c>
      <c r="K22" s="41"/>
      <c r="L22" s="42">
        <v>0</v>
      </c>
      <c r="O22" s="41"/>
      <c r="P22" s="42">
        <v>0</v>
      </c>
      <c r="S22" s="40">
        <v>0</v>
      </c>
      <c r="W22" s="62" t="s">
        <v>79</v>
      </c>
      <c r="X22" s="64"/>
      <c r="Y22" s="28" t="s">
        <v>7</v>
      </c>
      <c r="Z22" s="4">
        <f>(SUM(Y25:Y34)/SUM(X25:X34))</f>
        <v>2.6351145038167938</v>
      </c>
      <c r="AC22" s="9" t="str">
        <f t="shared" si="7"/>
        <v>Jackson, Parker</v>
      </c>
      <c r="AD22" s="14">
        <f t="shared" si="6"/>
        <v>0</v>
      </c>
      <c r="AG22" s="5" t="s">
        <v>87</v>
      </c>
      <c r="AH22" s="58" t="s">
        <v>7</v>
      </c>
    </row>
    <row r="23" spans="1:40" x14ac:dyDescent="0.3">
      <c r="A23" s="44" t="s">
        <v>114</v>
      </c>
      <c r="D23" s="40">
        <v>320</v>
      </c>
      <c r="E23" s="41"/>
      <c r="F23" s="41"/>
      <c r="G23" s="41"/>
      <c r="H23" s="42">
        <v>838</v>
      </c>
      <c r="K23" s="41"/>
      <c r="L23" s="46">
        <v>7437.83</v>
      </c>
      <c r="O23" s="41"/>
      <c r="P23" s="42">
        <v>2.62</v>
      </c>
      <c r="S23" s="47">
        <v>23.24</v>
      </c>
      <c r="W23" s="8"/>
      <c r="Z23" s="7"/>
      <c r="AC23" s="9" t="str">
        <f t="shared" si="7"/>
        <v>Mccarty, Katelynn</v>
      </c>
      <c r="AD23" s="14">
        <f t="shared" si="6"/>
        <v>1</v>
      </c>
      <c r="AG23" s="56" t="str">
        <f>W8</f>
        <v>Chica</v>
      </c>
      <c r="AH23" s="7">
        <f>'Week 5'!AD8</f>
        <v>2.7727717923604311</v>
      </c>
    </row>
    <row r="24" spans="1:40" x14ac:dyDescent="0.3">
      <c r="A24" s="44" t="s">
        <v>27</v>
      </c>
      <c r="D24" s="40">
        <v>55</v>
      </c>
      <c r="E24" s="41"/>
      <c r="F24" s="41"/>
      <c r="G24" s="41"/>
      <c r="H24" s="42">
        <v>155</v>
      </c>
      <c r="K24" s="41"/>
      <c r="L24" s="46">
        <v>1428.18</v>
      </c>
      <c r="O24" s="41"/>
      <c r="P24" s="42">
        <v>2.82</v>
      </c>
      <c r="S24" s="47">
        <v>25.97</v>
      </c>
      <c r="W24" s="8"/>
      <c r="X24" s="24" t="s">
        <v>52</v>
      </c>
      <c r="Y24" s="24" t="s">
        <v>13</v>
      </c>
      <c r="Z24" s="25" t="s">
        <v>7</v>
      </c>
      <c r="AC24" s="9" t="str">
        <f t="shared" si="7"/>
        <v>Montero, Rowan</v>
      </c>
      <c r="AD24" s="14">
        <f t="shared" si="6"/>
        <v>0</v>
      </c>
      <c r="AG24" s="56" t="str">
        <f>W22</f>
        <v>Bonnie</v>
      </c>
      <c r="AH24" s="7">
        <f>'Week 5'!AD9</f>
        <v>2.8271186440677964</v>
      </c>
    </row>
    <row r="25" spans="1:40" x14ac:dyDescent="0.3">
      <c r="A25" s="44" t="s">
        <v>28</v>
      </c>
      <c r="D25" s="40">
        <v>133</v>
      </c>
      <c r="E25" s="41"/>
      <c r="F25" s="41"/>
      <c r="G25" s="41"/>
      <c r="H25" s="42">
        <v>343</v>
      </c>
      <c r="K25" s="41"/>
      <c r="L25" s="46">
        <v>3210.78</v>
      </c>
      <c r="O25" s="41"/>
      <c r="P25" s="42">
        <v>2.58</v>
      </c>
      <c r="S25" s="47">
        <v>24.14</v>
      </c>
      <c r="W25" s="9" t="s">
        <v>51</v>
      </c>
      <c r="X25" s="1">
        <f>VLOOKUP(W25,$A$12:$S$65, 4,FALSE)</f>
        <v>60</v>
      </c>
      <c r="Y25" s="1">
        <f>VLOOKUP(W25,$A$12:$S$65, 8,FALSE)</f>
        <v>165</v>
      </c>
      <c r="Z25" s="7">
        <f>VLOOKUP(W25,$A$12:$S$65, 16,FALSE)</f>
        <v>2.75</v>
      </c>
      <c r="AC25" s="9" t="str">
        <f t="shared" si="7"/>
        <v>Pepper, Courtney</v>
      </c>
      <c r="AD25" s="14">
        <f t="shared" si="6"/>
        <v>0</v>
      </c>
      <c r="AG25" s="56" t="str">
        <f>W36</f>
        <v>Freddy</v>
      </c>
      <c r="AH25" s="7">
        <f>'Week 5'!AD10</f>
        <v>2.6605080831408774</v>
      </c>
    </row>
    <row r="26" spans="1:40" x14ac:dyDescent="0.3">
      <c r="A26" s="44" t="s">
        <v>103</v>
      </c>
      <c r="D26" s="40">
        <v>2</v>
      </c>
      <c r="E26" s="41"/>
      <c r="F26" s="41"/>
      <c r="G26" s="41"/>
      <c r="H26" s="42">
        <v>3</v>
      </c>
      <c r="K26" s="41"/>
      <c r="L26" s="46">
        <v>32.369999999999997</v>
      </c>
      <c r="O26" s="41"/>
      <c r="P26" s="42">
        <v>1.5</v>
      </c>
      <c r="S26" s="47">
        <v>16.190000000000001</v>
      </c>
      <c r="W26" s="9" t="s">
        <v>27</v>
      </c>
      <c r="X26" s="1">
        <f t="shared" ref="X26:X34" si="8">VLOOKUP(W26,$A$12:$S$65, 4,FALSE)</f>
        <v>55</v>
      </c>
      <c r="Y26" s="1">
        <f t="shared" ref="Y26:Y34" si="9">VLOOKUP(W26,$A$12:$S$65, 8,FALSE)</f>
        <v>155</v>
      </c>
      <c r="Z26" s="7">
        <f t="shared" ref="Z26:Z34" si="10">VLOOKUP(W26,$A$12:$S$65, 16,FALSE)</f>
        <v>2.82</v>
      </c>
      <c r="AC26" s="9" t="str">
        <f>W19</f>
        <v>Taylor, Ronni</v>
      </c>
      <c r="AD26" s="14">
        <f t="shared" si="6"/>
        <v>0</v>
      </c>
      <c r="AG26" s="56" t="str">
        <f>W50</f>
        <v>Balloon Boy</v>
      </c>
      <c r="AH26" s="7">
        <f>'Week 5'!AD11</f>
        <v>2.6596596596596598</v>
      </c>
    </row>
    <row r="27" spans="1:40" x14ac:dyDescent="0.3">
      <c r="A27" s="44" t="s">
        <v>29</v>
      </c>
      <c r="D27" s="40">
        <v>48</v>
      </c>
      <c r="E27" s="41"/>
      <c r="F27" s="41"/>
      <c r="G27" s="41"/>
      <c r="H27" s="42">
        <v>125</v>
      </c>
      <c r="K27" s="41"/>
      <c r="L27" s="46">
        <v>1134.29</v>
      </c>
      <c r="O27" s="41"/>
      <c r="P27" s="42">
        <v>2.6</v>
      </c>
      <c r="S27" s="47">
        <v>23.63</v>
      </c>
      <c r="W27" s="9" t="s">
        <v>28</v>
      </c>
      <c r="X27" s="1">
        <f t="shared" si="8"/>
        <v>133</v>
      </c>
      <c r="Y27" s="1">
        <f t="shared" si="9"/>
        <v>343</v>
      </c>
      <c r="Z27" s="7">
        <f t="shared" si="10"/>
        <v>2.58</v>
      </c>
      <c r="AC27" s="9" t="str">
        <f>W20</f>
        <v>Hall, Keira</v>
      </c>
      <c r="AD27" s="14">
        <f t="shared" si="6"/>
        <v>1</v>
      </c>
      <c r="AG27" s="57" t="str">
        <f>W64</f>
        <v>Foxy</v>
      </c>
      <c r="AH27" s="12">
        <f>'Week 5'!AD12</f>
        <v>2.8080593849416755</v>
      </c>
    </row>
    <row r="28" spans="1:40" x14ac:dyDescent="0.3">
      <c r="A28" s="44" t="s">
        <v>30</v>
      </c>
      <c r="D28" s="40">
        <v>3</v>
      </c>
      <c r="E28" s="41"/>
      <c r="F28" s="41"/>
      <c r="G28" s="41"/>
      <c r="H28" s="42">
        <v>9</v>
      </c>
      <c r="K28" s="41"/>
      <c r="L28" s="46">
        <v>84.09</v>
      </c>
      <c r="O28" s="41"/>
      <c r="P28" s="42">
        <v>3</v>
      </c>
      <c r="S28" s="47">
        <v>28.03</v>
      </c>
      <c r="W28" s="9" t="s">
        <v>29</v>
      </c>
      <c r="X28" s="1">
        <f t="shared" si="8"/>
        <v>48</v>
      </c>
      <c r="Y28" s="1">
        <f t="shared" si="9"/>
        <v>125</v>
      </c>
      <c r="Z28" s="7">
        <f t="shared" si="10"/>
        <v>2.6</v>
      </c>
      <c r="AC28" s="27" t="s">
        <v>66</v>
      </c>
      <c r="AD28" s="16">
        <f>SUM(AD18:AD27)</f>
        <v>4</v>
      </c>
    </row>
    <row r="29" spans="1:40" x14ac:dyDescent="0.3">
      <c r="A29" s="44" t="s">
        <v>115</v>
      </c>
      <c r="D29" s="40">
        <v>161</v>
      </c>
      <c r="E29" s="41"/>
      <c r="F29" s="41"/>
      <c r="G29" s="41"/>
      <c r="H29" s="42">
        <v>418</v>
      </c>
      <c r="K29" s="41"/>
      <c r="L29" s="46">
        <v>3851.78</v>
      </c>
      <c r="O29" s="41"/>
      <c r="P29" s="42">
        <v>2.6</v>
      </c>
      <c r="S29" s="47">
        <v>23.92</v>
      </c>
      <c r="W29" s="9" t="s">
        <v>32</v>
      </c>
      <c r="X29" s="1">
        <f t="shared" si="8"/>
        <v>44</v>
      </c>
      <c r="Y29" s="1">
        <f t="shared" si="9"/>
        <v>138</v>
      </c>
      <c r="Z29" s="7">
        <f t="shared" si="10"/>
        <v>3.14</v>
      </c>
      <c r="AD29" s="3"/>
    </row>
    <row r="30" spans="1:40" x14ac:dyDescent="0.3">
      <c r="A30" s="44" t="s">
        <v>119</v>
      </c>
      <c r="D30" s="40">
        <v>196</v>
      </c>
      <c r="E30" s="41"/>
      <c r="F30" s="41"/>
      <c r="G30" s="41"/>
      <c r="H30" s="42">
        <v>516</v>
      </c>
      <c r="K30" s="41"/>
      <c r="L30" s="46">
        <v>4701.21</v>
      </c>
      <c r="O30" s="41"/>
      <c r="P30" s="42">
        <v>2.63</v>
      </c>
      <c r="S30" s="47">
        <v>23.99</v>
      </c>
      <c r="W30" s="9" t="s">
        <v>17</v>
      </c>
      <c r="X30" s="1">
        <f t="shared" si="8"/>
        <v>0</v>
      </c>
      <c r="Y30" s="1">
        <f t="shared" si="9"/>
        <v>0</v>
      </c>
      <c r="Z30" s="7">
        <f t="shared" si="10"/>
        <v>0</v>
      </c>
      <c r="AC30" s="23" t="str">
        <f>W22</f>
        <v>Bonnie</v>
      </c>
      <c r="AD30" s="26" t="s">
        <v>58</v>
      </c>
      <c r="AG30" s="67" t="s">
        <v>92</v>
      </c>
      <c r="AH30" s="68"/>
    </row>
    <row r="31" spans="1:40" x14ac:dyDescent="0.3">
      <c r="A31" s="44" t="s">
        <v>32</v>
      </c>
      <c r="D31" s="40">
        <v>44</v>
      </c>
      <c r="E31" s="41"/>
      <c r="F31" s="41"/>
      <c r="G31" s="41"/>
      <c r="H31" s="42">
        <v>138</v>
      </c>
      <c r="K31" s="41"/>
      <c r="L31" s="46">
        <v>1211.81</v>
      </c>
      <c r="O31" s="41"/>
      <c r="P31" s="42">
        <v>3.14</v>
      </c>
      <c r="S31" s="47">
        <v>27.54</v>
      </c>
      <c r="W31" s="9" t="s">
        <v>46</v>
      </c>
      <c r="X31" s="1">
        <f t="shared" si="8"/>
        <v>110</v>
      </c>
      <c r="Y31" s="1">
        <f t="shared" si="9"/>
        <v>279</v>
      </c>
      <c r="Z31" s="7">
        <f t="shared" si="10"/>
        <v>2.54</v>
      </c>
      <c r="AC31" s="9" t="str">
        <f>W25</f>
        <v>Zeller, Daniel</v>
      </c>
      <c r="AD31" s="14">
        <f t="shared" ref="AD31:AD40" si="11">IF(VLOOKUP(AC31,$W:$Z,2,FALSE)&gt;=100,
    IF(VLOOKUP(AC31,$W:$Z,4,FALSE)&gt;$AD$13,
        IF(VLOOKUP(AC31,$W:$Z,4,FALSE)&gt;=$AD$13+0.5,3,
            IF(VLOOKUP(AC31,$W:$Z,4,FALSE)&gt;=$AD$13+0.25,2,1)
        ),
    0),
0)</f>
        <v>0</v>
      </c>
      <c r="AG31" s="56" t="str">
        <f>W8</f>
        <v>Chica</v>
      </c>
      <c r="AH31" s="14">
        <f>IF(AD8&gt;AH23,1,0)</f>
        <v>0</v>
      </c>
    </row>
    <row r="32" spans="1:40" x14ac:dyDescent="0.3">
      <c r="A32" s="44" t="s">
        <v>33</v>
      </c>
      <c r="D32" s="40">
        <v>190</v>
      </c>
      <c r="E32" s="41"/>
      <c r="F32" s="41"/>
      <c r="G32" s="41"/>
      <c r="H32" s="42">
        <v>519</v>
      </c>
      <c r="K32" s="41"/>
      <c r="L32" s="46">
        <v>4701.0600000000004</v>
      </c>
      <c r="O32" s="41"/>
      <c r="P32" s="42">
        <v>2.73</v>
      </c>
      <c r="S32" s="47">
        <v>24.74</v>
      </c>
      <c r="W32" s="9" t="s">
        <v>50</v>
      </c>
      <c r="X32" s="1">
        <f t="shared" si="8"/>
        <v>200</v>
      </c>
      <c r="Y32" s="1">
        <f t="shared" si="9"/>
        <v>510</v>
      </c>
      <c r="Z32" s="7">
        <f t="shared" si="10"/>
        <v>2.5499999999999998</v>
      </c>
      <c r="AC32" s="9" t="str">
        <f>W26</f>
        <v>Dick, Emilie</v>
      </c>
      <c r="AD32" s="14">
        <f t="shared" si="11"/>
        <v>0</v>
      </c>
      <c r="AG32" s="56" t="str">
        <f>W22</f>
        <v>Bonnie</v>
      </c>
      <c r="AH32" s="14">
        <f>IF(AD9&gt;AH24, 1,0)</f>
        <v>0</v>
      </c>
    </row>
    <row r="33" spans="1:34" x14ac:dyDescent="0.3">
      <c r="A33" s="44" t="s">
        <v>86</v>
      </c>
      <c r="D33" s="40">
        <v>17</v>
      </c>
      <c r="E33" s="41"/>
      <c r="F33" s="41"/>
      <c r="G33" s="41"/>
      <c r="H33" s="42">
        <v>39</v>
      </c>
      <c r="K33" s="41"/>
      <c r="L33" s="46">
        <v>345.25</v>
      </c>
      <c r="O33" s="41"/>
      <c r="P33" s="42">
        <v>2.29</v>
      </c>
      <c r="S33" s="47">
        <v>20.309999999999999</v>
      </c>
      <c r="W33" s="45" t="s">
        <v>110</v>
      </c>
      <c r="X33" s="1">
        <f t="shared" si="8"/>
        <v>5</v>
      </c>
      <c r="Y33" s="1">
        <f t="shared" si="9"/>
        <v>11</v>
      </c>
      <c r="Z33" s="7">
        <f t="shared" si="10"/>
        <v>2.2000000000000002</v>
      </c>
      <c r="AC33" s="9" t="str">
        <f t="shared" ref="AC33:AC40" si="12">W27</f>
        <v>Farmer, Kasey</v>
      </c>
      <c r="AD33" s="14">
        <f t="shared" si="11"/>
        <v>0</v>
      </c>
      <c r="AG33" s="56" t="str">
        <f>W36</f>
        <v>Freddy</v>
      </c>
      <c r="AH33" s="14">
        <f>IF(AD10&gt;AH25, 1,0)</f>
        <v>1</v>
      </c>
    </row>
    <row r="34" spans="1:34" x14ac:dyDescent="0.3">
      <c r="A34" s="44" t="s">
        <v>34</v>
      </c>
      <c r="D34" s="40">
        <v>205</v>
      </c>
      <c r="E34" s="41"/>
      <c r="F34" s="41"/>
      <c r="G34" s="41"/>
      <c r="H34" s="42">
        <v>485</v>
      </c>
      <c r="K34" s="41"/>
      <c r="L34" s="46">
        <v>4490.99</v>
      </c>
      <c r="O34" s="41"/>
      <c r="P34" s="42">
        <v>2.37</v>
      </c>
      <c r="S34" s="47">
        <v>21.91</v>
      </c>
      <c r="V34" s="1" t="s">
        <v>100</v>
      </c>
      <c r="W34" s="10" t="s">
        <v>17</v>
      </c>
      <c r="X34" s="11">
        <f t="shared" si="8"/>
        <v>0</v>
      </c>
      <c r="Y34" s="11">
        <f t="shared" si="9"/>
        <v>0</v>
      </c>
      <c r="Z34" s="12">
        <f t="shared" si="10"/>
        <v>0</v>
      </c>
      <c r="AC34" s="9" t="str">
        <f t="shared" si="12"/>
        <v>Gashu, Amanuel</v>
      </c>
      <c r="AD34" s="14">
        <f t="shared" si="11"/>
        <v>0</v>
      </c>
      <c r="AG34" s="56" t="str">
        <f>W50</f>
        <v>Balloon Boy</v>
      </c>
      <c r="AH34" s="14">
        <f t="shared" ref="AH34:AH35" si="13">IF(AD11&gt;AH26, 1,0)</f>
        <v>0</v>
      </c>
    </row>
    <row r="35" spans="1:34" x14ac:dyDescent="0.3">
      <c r="A35" s="44" t="s">
        <v>35</v>
      </c>
      <c r="D35" s="40">
        <v>38</v>
      </c>
      <c r="E35" s="41"/>
      <c r="F35" s="41"/>
      <c r="G35" s="41"/>
      <c r="H35" s="42">
        <v>118</v>
      </c>
      <c r="K35" s="41"/>
      <c r="L35" s="46">
        <v>1088.1099999999999</v>
      </c>
      <c r="O35" s="41"/>
      <c r="P35" s="42">
        <v>3.11</v>
      </c>
      <c r="S35" s="47">
        <v>28.63</v>
      </c>
      <c r="AC35" s="9" t="str">
        <f t="shared" si="12"/>
        <v>Hatch, Aidan</v>
      </c>
      <c r="AD35" s="14">
        <f t="shared" si="11"/>
        <v>0</v>
      </c>
      <c r="AG35" s="57" t="str">
        <f>W64</f>
        <v>Foxy</v>
      </c>
      <c r="AH35" s="16">
        <f t="shared" si="13"/>
        <v>0</v>
      </c>
    </row>
    <row r="36" spans="1:34" x14ac:dyDescent="0.3">
      <c r="A36" s="44" t="s">
        <v>36</v>
      </c>
      <c r="D36" s="40">
        <v>107</v>
      </c>
      <c r="E36" s="41"/>
      <c r="F36" s="41"/>
      <c r="G36" s="41"/>
      <c r="H36" s="42">
        <v>294</v>
      </c>
      <c r="K36" s="41"/>
      <c r="L36" s="46">
        <v>2773.57</v>
      </c>
      <c r="O36" s="41"/>
      <c r="P36" s="42">
        <v>2.75</v>
      </c>
      <c r="S36" s="47">
        <v>25.92</v>
      </c>
      <c r="W36" s="62" t="s">
        <v>80</v>
      </c>
      <c r="X36" s="64"/>
      <c r="Y36" s="28" t="s">
        <v>7</v>
      </c>
      <c r="Z36" s="4">
        <f>(SUM(Y39:Y48)/SUM(X39:X48))</f>
        <v>2.6836215666327567</v>
      </c>
      <c r="AC36" s="9" t="str">
        <f t="shared" si="12"/>
        <v>Admin, AMC</v>
      </c>
      <c r="AD36" s="14">
        <f t="shared" si="11"/>
        <v>0</v>
      </c>
    </row>
    <row r="37" spans="1:34" x14ac:dyDescent="0.3">
      <c r="A37" s="44" t="s">
        <v>82</v>
      </c>
      <c r="D37" s="40">
        <v>74</v>
      </c>
      <c r="E37" s="41"/>
      <c r="F37" s="41"/>
      <c r="G37" s="41"/>
      <c r="H37" s="42">
        <v>166</v>
      </c>
      <c r="K37" s="41"/>
      <c r="L37" s="46">
        <v>1530.9</v>
      </c>
      <c r="O37" s="41"/>
      <c r="P37" s="42">
        <v>2.2400000000000002</v>
      </c>
      <c r="S37" s="47">
        <v>20.69</v>
      </c>
      <c r="W37" s="8"/>
      <c r="Z37" s="7"/>
      <c r="AC37" s="9" t="str">
        <f t="shared" si="12"/>
        <v>Ryder, Erin</v>
      </c>
      <c r="AD37" s="14">
        <f t="shared" si="11"/>
        <v>0</v>
      </c>
    </row>
    <row r="38" spans="1:34" x14ac:dyDescent="0.3">
      <c r="A38" s="44" t="s">
        <v>107</v>
      </c>
      <c r="D38" s="40">
        <v>42</v>
      </c>
      <c r="E38" s="41"/>
      <c r="F38" s="41"/>
      <c r="G38" s="41"/>
      <c r="H38" s="42">
        <v>129</v>
      </c>
      <c r="K38" s="41"/>
      <c r="L38" s="46">
        <v>1161.33</v>
      </c>
      <c r="O38" s="41"/>
      <c r="P38" s="42">
        <v>3.07</v>
      </c>
      <c r="S38" s="47">
        <v>27.65</v>
      </c>
      <c r="U38" s="2"/>
      <c r="W38" s="8"/>
      <c r="X38" s="24" t="s">
        <v>52</v>
      </c>
      <c r="Y38" s="24" t="s">
        <v>13</v>
      </c>
      <c r="Z38" s="25" t="s">
        <v>7</v>
      </c>
      <c r="AC38" s="9" t="str">
        <f t="shared" si="12"/>
        <v>Yandle, Chuck</v>
      </c>
      <c r="AD38" s="14">
        <f t="shared" si="11"/>
        <v>0</v>
      </c>
    </row>
    <row r="39" spans="1:34" x14ac:dyDescent="0.3">
      <c r="A39" s="44" t="s">
        <v>90</v>
      </c>
      <c r="D39" s="40">
        <v>84</v>
      </c>
      <c r="E39" s="41"/>
      <c r="F39" s="41"/>
      <c r="G39" s="41"/>
      <c r="H39" s="42">
        <v>215</v>
      </c>
      <c r="K39" s="41"/>
      <c r="L39" s="46">
        <v>1992.61</v>
      </c>
      <c r="O39" s="41"/>
      <c r="P39" s="42">
        <v>2.56</v>
      </c>
      <c r="S39" s="47">
        <v>23.72</v>
      </c>
      <c r="W39" s="9" t="s">
        <v>25</v>
      </c>
      <c r="X39" s="1">
        <f>VLOOKUP(W39,$A$12:$S$65, 4,FALSE)</f>
        <v>27</v>
      </c>
      <c r="Y39" s="1">
        <f>VLOOKUP(W39,$A$12:$S$65, 8,FALSE)</f>
        <v>71</v>
      </c>
      <c r="Z39" s="7">
        <f>VLOOKUP(W39,$A$12:$S$65, 16,FALSE)</f>
        <v>2.63</v>
      </c>
      <c r="AC39" s="9" t="str">
        <f t="shared" si="12"/>
        <v>Way, Abby</v>
      </c>
      <c r="AD39" s="14">
        <f t="shared" si="11"/>
        <v>0</v>
      </c>
    </row>
    <row r="40" spans="1:34" x14ac:dyDescent="0.3">
      <c r="A40" s="44" t="s">
        <v>37</v>
      </c>
      <c r="D40" s="40">
        <v>102</v>
      </c>
      <c r="E40" s="41"/>
      <c r="F40" s="41"/>
      <c r="G40" s="41"/>
      <c r="H40" s="42">
        <v>279</v>
      </c>
      <c r="K40" s="41"/>
      <c r="L40" s="46">
        <v>2543.12</v>
      </c>
      <c r="O40" s="41"/>
      <c r="P40" s="42">
        <v>2.74</v>
      </c>
      <c r="S40" s="47">
        <v>24.93</v>
      </c>
      <c r="W40" s="45" t="s">
        <v>20</v>
      </c>
      <c r="X40" s="1">
        <f t="shared" ref="X40:X48" si="14">VLOOKUP(W40,$A$12:$S$65, 4,FALSE)</f>
        <v>136</v>
      </c>
      <c r="Y40" s="1">
        <f t="shared" ref="Y40:Y48" si="15">VLOOKUP(W40,$A$12:$S$65, 8,FALSE)</f>
        <v>369</v>
      </c>
      <c r="Z40" s="7">
        <f t="shared" ref="Z40:Z48" si="16">VLOOKUP(W40,$A$12:$S$65, 16,FALSE)</f>
        <v>2.71</v>
      </c>
      <c r="AC40" s="9" t="str">
        <f t="shared" si="12"/>
        <v>Admin, AMC</v>
      </c>
      <c r="AD40" s="14">
        <f t="shared" si="11"/>
        <v>0</v>
      </c>
    </row>
    <row r="41" spans="1:34" x14ac:dyDescent="0.3">
      <c r="A41" s="44" t="s">
        <v>38</v>
      </c>
      <c r="D41" s="40">
        <v>34</v>
      </c>
      <c r="E41" s="41"/>
      <c r="F41" s="41"/>
      <c r="G41" s="41"/>
      <c r="H41" s="42">
        <v>105</v>
      </c>
      <c r="K41" s="41"/>
      <c r="L41" s="46">
        <v>948.6</v>
      </c>
      <c r="O41" s="41"/>
      <c r="P41" s="42">
        <v>3.09</v>
      </c>
      <c r="S41" s="47">
        <v>27.9</v>
      </c>
      <c r="W41" s="9" t="s">
        <v>24</v>
      </c>
      <c r="X41" s="1">
        <f t="shared" si="14"/>
        <v>0</v>
      </c>
      <c r="Y41" s="1">
        <f t="shared" si="15"/>
        <v>0</v>
      </c>
      <c r="Z41" s="7">
        <f t="shared" si="16"/>
        <v>0</v>
      </c>
      <c r="AC41" s="27" t="s">
        <v>66</v>
      </c>
      <c r="AD41" s="16">
        <f>SUM(AD31:AD40)</f>
        <v>0</v>
      </c>
    </row>
    <row r="42" spans="1:34" x14ac:dyDescent="0.3">
      <c r="A42" s="44" t="s">
        <v>39</v>
      </c>
      <c r="D42" s="40">
        <v>101</v>
      </c>
      <c r="E42" s="41"/>
      <c r="F42" s="41"/>
      <c r="G42" s="41"/>
      <c r="H42" s="42">
        <v>269</v>
      </c>
      <c r="K42" s="41"/>
      <c r="L42" s="46">
        <v>2546.13</v>
      </c>
      <c r="O42" s="41"/>
      <c r="P42" s="42">
        <v>2.66</v>
      </c>
      <c r="S42" s="47">
        <v>25.21</v>
      </c>
      <c r="W42" s="9" t="s">
        <v>33</v>
      </c>
      <c r="X42" s="1">
        <f t="shared" si="14"/>
        <v>190</v>
      </c>
      <c r="Y42" s="1">
        <f t="shared" si="15"/>
        <v>519</v>
      </c>
      <c r="Z42" s="7">
        <f t="shared" si="16"/>
        <v>2.73</v>
      </c>
      <c r="AD42" s="3"/>
    </row>
    <row r="43" spans="1:34" x14ac:dyDescent="0.3">
      <c r="A43" s="44" t="s">
        <v>40</v>
      </c>
      <c r="D43" s="40">
        <v>182</v>
      </c>
      <c r="E43" s="41"/>
      <c r="F43" s="41"/>
      <c r="G43" s="41"/>
      <c r="H43" s="42">
        <v>455</v>
      </c>
      <c r="K43" s="41"/>
      <c r="L43" s="46">
        <v>4245.9799999999996</v>
      </c>
      <c r="O43" s="41"/>
      <c r="P43" s="42">
        <v>2.5</v>
      </c>
      <c r="S43" s="47">
        <v>23.33</v>
      </c>
      <c r="W43" s="45" t="s">
        <v>36</v>
      </c>
      <c r="X43" s="1">
        <f t="shared" si="14"/>
        <v>107</v>
      </c>
      <c r="Y43" s="1">
        <f t="shared" si="15"/>
        <v>294</v>
      </c>
      <c r="Z43" s="7">
        <f t="shared" si="16"/>
        <v>2.75</v>
      </c>
      <c r="AC43" s="23" t="str">
        <f>W36</f>
        <v>Freddy</v>
      </c>
      <c r="AD43" s="26" t="s">
        <v>58</v>
      </c>
    </row>
    <row r="44" spans="1:34" x14ac:dyDescent="0.3">
      <c r="A44" s="44" t="s">
        <v>109</v>
      </c>
      <c r="D44" s="40">
        <v>15</v>
      </c>
      <c r="E44" s="41"/>
      <c r="F44" s="41"/>
      <c r="G44" s="41"/>
      <c r="H44" s="42">
        <v>38</v>
      </c>
      <c r="K44" s="41"/>
      <c r="L44" s="46">
        <v>361.69</v>
      </c>
      <c r="O44" s="41"/>
      <c r="P44" s="42">
        <v>2.5299999999999998</v>
      </c>
      <c r="S44" s="47">
        <v>24.11</v>
      </c>
      <c r="W44" s="45" t="s">
        <v>48</v>
      </c>
      <c r="X44" s="1">
        <f t="shared" si="14"/>
        <v>0</v>
      </c>
      <c r="Y44" s="1">
        <f t="shared" si="15"/>
        <v>0</v>
      </c>
      <c r="Z44" s="7">
        <f t="shared" si="16"/>
        <v>0</v>
      </c>
      <c r="AC44" s="9" t="str">
        <f>W39</f>
        <v>DaPra, Kylan</v>
      </c>
      <c r="AD44" s="14">
        <f t="shared" ref="AD44:AD53" si="17">IF(VLOOKUP(AC44,$W:$Z,2,FALSE)&gt;=100,
    IF(VLOOKUP(AC44,$W:$Z,4,FALSE)&gt;$AD$13,
        IF(VLOOKUP(AC44,$W:$Z,4,FALSE)&gt;=$AD$13+0.5,3,
            IF(VLOOKUP(AC44,$W:$Z,4,FALSE)&gt;=$AD$13+0.25,2,1)
        ),
    0),
0)</f>
        <v>0</v>
      </c>
    </row>
    <row r="45" spans="1:34" x14ac:dyDescent="0.3">
      <c r="A45" s="44" t="s">
        <v>42</v>
      </c>
      <c r="D45" s="40">
        <v>60</v>
      </c>
      <c r="E45" s="41"/>
      <c r="F45" s="41"/>
      <c r="G45" s="41"/>
      <c r="H45" s="42">
        <v>145</v>
      </c>
      <c r="K45" s="41"/>
      <c r="L45" s="46">
        <v>1353.13</v>
      </c>
      <c r="O45" s="41"/>
      <c r="P45" s="42">
        <v>2.42</v>
      </c>
      <c r="S45" s="47">
        <v>22.55</v>
      </c>
      <c r="V45" s="1" t="s">
        <v>96</v>
      </c>
      <c r="W45" s="45" t="s">
        <v>107</v>
      </c>
      <c r="X45" s="1">
        <f t="shared" si="14"/>
        <v>42</v>
      </c>
      <c r="Y45" s="1">
        <f t="shared" si="15"/>
        <v>129</v>
      </c>
      <c r="Z45" s="7">
        <f t="shared" si="16"/>
        <v>3.07</v>
      </c>
      <c r="AC45" s="9" t="str">
        <f>W40</f>
        <v xml:space="preserve">Albert, Rowan </v>
      </c>
      <c r="AD45" s="14">
        <f t="shared" si="17"/>
        <v>1</v>
      </c>
    </row>
    <row r="46" spans="1:34" x14ac:dyDescent="0.3">
      <c r="A46" s="44" t="s">
        <v>43</v>
      </c>
      <c r="D46" s="40">
        <v>4</v>
      </c>
      <c r="E46" s="41"/>
      <c r="F46" s="41"/>
      <c r="G46" s="41"/>
      <c r="H46" s="42">
        <v>13</v>
      </c>
      <c r="K46" s="41"/>
      <c r="L46" s="46">
        <v>134.62</v>
      </c>
      <c r="O46" s="41"/>
      <c r="P46" s="42">
        <v>3.25</v>
      </c>
      <c r="S46" s="47">
        <v>33.659999999999997</v>
      </c>
      <c r="V46" s="1" t="s">
        <v>94</v>
      </c>
      <c r="W46" s="45" t="s">
        <v>115</v>
      </c>
      <c r="X46" s="1">
        <f t="shared" si="14"/>
        <v>161</v>
      </c>
      <c r="Y46" s="1">
        <f t="shared" si="15"/>
        <v>418</v>
      </c>
      <c r="Z46" s="7">
        <f t="shared" si="16"/>
        <v>2.6</v>
      </c>
      <c r="AC46" s="9" t="str">
        <f t="shared" ref="AC46:AC53" si="18">W41</f>
        <v>Cloud, Annette</v>
      </c>
      <c r="AD46" s="14">
        <f t="shared" si="17"/>
        <v>0</v>
      </c>
    </row>
    <row r="47" spans="1:34" x14ac:dyDescent="0.3">
      <c r="A47" s="44" t="s">
        <v>44</v>
      </c>
      <c r="D47" s="40">
        <v>0</v>
      </c>
      <c r="E47" s="41"/>
      <c r="F47" s="41"/>
      <c r="G47" s="41"/>
      <c r="H47" s="42">
        <v>0</v>
      </c>
      <c r="K47" s="41"/>
      <c r="L47" s="42">
        <v>0</v>
      </c>
      <c r="O47" s="41"/>
      <c r="P47" s="42">
        <v>0</v>
      </c>
      <c r="S47" s="40">
        <v>0</v>
      </c>
      <c r="V47" s="1" t="s">
        <v>95</v>
      </c>
      <c r="W47" s="45" t="s">
        <v>114</v>
      </c>
      <c r="X47" s="1">
        <f t="shared" si="14"/>
        <v>320</v>
      </c>
      <c r="Y47" s="1">
        <f t="shared" si="15"/>
        <v>838</v>
      </c>
      <c r="Z47" s="7">
        <f t="shared" si="16"/>
        <v>2.62</v>
      </c>
      <c r="AC47" s="9" t="str">
        <f t="shared" si="18"/>
        <v>Hill, Gabby</v>
      </c>
      <c r="AD47" s="14">
        <f t="shared" si="17"/>
        <v>1</v>
      </c>
    </row>
    <row r="48" spans="1:34" x14ac:dyDescent="0.3">
      <c r="A48" s="44" t="s">
        <v>116</v>
      </c>
      <c r="D48" s="40">
        <v>0</v>
      </c>
      <c r="E48" s="41"/>
      <c r="F48" s="41"/>
      <c r="G48" s="41"/>
      <c r="H48" s="42">
        <v>0</v>
      </c>
      <c r="K48" s="41"/>
      <c r="L48" s="42">
        <v>0</v>
      </c>
      <c r="O48" s="41"/>
      <c r="P48" s="42">
        <v>0</v>
      </c>
      <c r="S48" s="40">
        <v>0</v>
      </c>
      <c r="W48" s="10" t="s">
        <v>17</v>
      </c>
      <c r="X48" s="11">
        <f t="shared" si="14"/>
        <v>0</v>
      </c>
      <c r="Y48" s="11">
        <f t="shared" si="15"/>
        <v>0</v>
      </c>
      <c r="Z48" s="12">
        <f t="shared" si="16"/>
        <v>0</v>
      </c>
      <c r="AC48" s="9" t="str">
        <f t="shared" si="18"/>
        <v>Koessler, Bayley</v>
      </c>
      <c r="AD48" s="14">
        <f t="shared" si="17"/>
        <v>1</v>
      </c>
    </row>
    <row r="49" spans="1:30" x14ac:dyDescent="0.3">
      <c r="A49" s="44" t="s">
        <v>116</v>
      </c>
      <c r="D49" s="40">
        <v>187</v>
      </c>
      <c r="E49" s="41"/>
      <c r="F49" s="41"/>
      <c r="G49" s="41"/>
      <c r="H49" s="42">
        <v>482</v>
      </c>
      <c r="K49" s="41"/>
      <c r="L49" s="46">
        <v>4409.83</v>
      </c>
      <c r="O49" s="41"/>
      <c r="P49" s="42">
        <v>2.58</v>
      </c>
      <c r="S49" s="47">
        <v>23.58</v>
      </c>
      <c r="AC49" s="9" t="str">
        <f t="shared" si="18"/>
        <v>Wetsit, Karlos</v>
      </c>
      <c r="AD49" s="14">
        <f t="shared" si="17"/>
        <v>0</v>
      </c>
    </row>
    <row r="50" spans="1:30" x14ac:dyDescent="0.3">
      <c r="A50" s="44" t="s">
        <v>104</v>
      </c>
      <c r="D50" s="40">
        <v>65</v>
      </c>
      <c r="E50" s="41"/>
      <c r="F50" s="41"/>
      <c r="G50" s="41"/>
      <c r="H50" s="42">
        <v>153</v>
      </c>
      <c r="K50" s="41"/>
      <c r="L50" s="46">
        <v>1444.13</v>
      </c>
      <c r="O50" s="41"/>
      <c r="P50" s="42">
        <v>2.35</v>
      </c>
      <c r="S50" s="47">
        <v>22.22</v>
      </c>
      <c r="W50" s="62" t="s">
        <v>93</v>
      </c>
      <c r="X50" s="64"/>
      <c r="Y50" s="28" t="s">
        <v>7</v>
      </c>
      <c r="Z50" s="4">
        <f>(SUM(Y53:Y62)/SUM(X53:X62))</f>
        <v>2.5337591240875912</v>
      </c>
      <c r="AC50" s="9" t="str">
        <f t="shared" si="18"/>
        <v>Lawson, Nick</v>
      </c>
      <c r="AD50" s="14">
        <f t="shared" si="17"/>
        <v>0</v>
      </c>
    </row>
    <row r="51" spans="1:30" x14ac:dyDescent="0.3">
      <c r="A51" s="44" t="s">
        <v>45</v>
      </c>
      <c r="D51" s="40">
        <v>195</v>
      </c>
      <c r="E51" s="41"/>
      <c r="F51" s="41"/>
      <c r="G51" s="41"/>
      <c r="H51" s="42">
        <v>523</v>
      </c>
      <c r="K51" s="41"/>
      <c r="L51" s="46">
        <v>4990.87</v>
      </c>
      <c r="O51" s="41"/>
      <c r="P51" s="42">
        <v>2.68</v>
      </c>
      <c r="S51" s="47">
        <v>25.59</v>
      </c>
      <c r="W51" s="8"/>
      <c r="Z51" s="7"/>
      <c r="AC51" s="9" t="str">
        <f t="shared" si="18"/>
        <v>Hall, Ella</v>
      </c>
      <c r="AD51" s="14">
        <f t="shared" si="17"/>
        <v>0</v>
      </c>
    </row>
    <row r="52" spans="1:30" x14ac:dyDescent="0.3">
      <c r="A52" s="44" t="s">
        <v>46</v>
      </c>
      <c r="D52" s="40">
        <v>110</v>
      </c>
      <c r="E52" s="41"/>
      <c r="F52" s="41"/>
      <c r="G52" s="41"/>
      <c r="H52" s="42">
        <v>279</v>
      </c>
      <c r="K52" s="41"/>
      <c r="L52" s="46">
        <v>2543.84</v>
      </c>
      <c r="O52" s="41"/>
      <c r="P52" s="42">
        <v>2.54</v>
      </c>
      <c r="S52" s="47">
        <v>23.13</v>
      </c>
      <c r="W52" s="8"/>
      <c r="X52" s="24" t="s">
        <v>52</v>
      </c>
      <c r="Y52" s="24" t="s">
        <v>13</v>
      </c>
      <c r="Z52" s="25" t="s">
        <v>7</v>
      </c>
      <c r="AC52" s="9" t="str">
        <f t="shared" si="18"/>
        <v>Dellinger, Lauren</v>
      </c>
      <c r="AD52" s="14">
        <f t="shared" si="17"/>
        <v>1</v>
      </c>
    </row>
    <row r="53" spans="1:30" x14ac:dyDescent="0.3">
      <c r="A53" s="44" t="s">
        <v>105</v>
      </c>
      <c r="D53" s="40">
        <v>80</v>
      </c>
      <c r="E53" s="41"/>
      <c r="F53" s="41"/>
      <c r="G53" s="41"/>
      <c r="H53" s="42">
        <v>228</v>
      </c>
      <c r="K53" s="41"/>
      <c r="L53" s="46">
        <v>2129</v>
      </c>
      <c r="O53" s="41"/>
      <c r="P53" s="42">
        <v>2.85</v>
      </c>
      <c r="S53" s="47">
        <v>26.61</v>
      </c>
      <c r="W53" s="9" t="s">
        <v>35</v>
      </c>
      <c r="X53" s="1">
        <f>VLOOKUP(W53,$A$12:$S$65, 4,FALSE)</f>
        <v>38</v>
      </c>
      <c r="Y53" s="1">
        <f>VLOOKUP(W53,$A$12:$S$65, 8,FALSE)</f>
        <v>118</v>
      </c>
      <c r="Z53" s="7">
        <f>VLOOKUP(W53,$A$12:$S$65, 16,FALSE)</f>
        <v>3.11</v>
      </c>
      <c r="AC53" s="9" t="str">
        <f t="shared" si="18"/>
        <v>Admin, AMC</v>
      </c>
      <c r="AD53" s="14">
        <f t="shared" si="17"/>
        <v>0</v>
      </c>
    </row>
    <row r="54" spans="1:30" x14ac:dyDescent="0.3">
      <c r="A54" s="44" t="s">
        <v>47</v>
      </c>
      <c r="D54" s="40">
        <v>220</v>
      </c>
      <c r="E54" s="41"/>
      <c r="F54" s="41"/>
      <c r="G54" s="41"/>
      <c r="H54" s="42">
        <v>548</v>
      </c>
      <c r="K54" s="41"/>
      <c r="L54" s="46">
        <v>5158.59</v>
      </c>
      <c r="O54" s="41"/>
      <c r="P54" s="42">
        <v>2.4900000000000002</v>
      </c>
      <c r="S54" s="47">
        <v>23.45</v>
      </c>
      <c r="W54" s="45" t="s">
        <v>86</v>
      </c>
      <c r="X54" s="1">
        <f t="shared" ref="X54:X62" si="19">VLOOKUP(W54,$A$12:$S$65, 4,FALSE)</f>
        <v>17</v>
      </c>
      <c r="Y54" s="1">
        <f t="shared" ref="Y54:Y62" si="20">VLOOKUP(W54,$A$12:$S$65, 8,FALSE)</f>
        <v>39</v>
      </c>
      <c r="Z54" s="7">
        <f t="shared" ref="Z54:Z62" si="21">VLOOKUP(W54,$A$12:$S$65, 16,FALSE)</f>
        <v>2.29</v>
      </c>
      <c r="AC54" s="27" t="s">
        <v>66</v>
      </c>
      <c r="AD54" s="16">
        <f>SUM(AD44:AD53)</f>
        <v>4</v>
      </c>
    </row>
    <row r="55" spans="1:30" x14ac:dyDescent="0.3">
      <c r="A55" s="44" t="s">
        <v>76</v>
      </c>
      <c r="D55" s="40">
        <v>34</v>
      </c>
      <c r="E55" s="41"/>
      <c r="F55" s="41"/>
      <c r="G55" s="41"/>
      <c r="H55" s="42">
        <v>83</v>
      </c>
      <c r="K55" s="41"/>
      <c r="L55" s="46">
        <v>711.74</v>
      </c>
      <c r="O55" s="41"/>
      <c r="P55" s="42">
        <v>2.44</v>
      </c>
      <c r="S55" s="47">
        <v>20.93</v>
      </c>
      <c r="W55" s="45" t="s">
        <v>90</v>
      </c>
      <c r="X55" s="1">
        <f t="shared" si="19"/>
        <v>84</v>
      </c>
      <c r="Y55" s="1">
        <f t="shared" si="20"/>
        <v>215</v>
      </c>
      <c r="Z55" s="7">
        <f t="shared" si="21"/>
        <v>2.56</v>
      </c>
      <c r="AD55" s="3"/>
    </row>
    <row r="56" spans="1:30" x14ac:dyDescent="0.3">
      <c r="A56" s="44" t="s">
        <v>84</v>
      </c>
      <c r="D56" s="40">
        <v>54</v>
      </c>
      <c r="E56" s="41"/>
      <c r="F56" s="41"/>
      <c r="G56" s="41"/>
      <c r="H56" s="42">
        <v>109</v>
      </c>
      <c r="K56" s="41"/>
      <c r="L56" s="46">
        <v>1068.18</v>
      </c>
      <c r="O56" s="41"/>
      <c r="P56" s="42">
        <v>2.02</v>
      </c>
      <c r="S56" s="47">
        <v>19.78</v>
      </c>
      <c r="W56" s="45" t="s">
        <v>40</v>
      </c>
      <c r="X56" s="1">
        <f t="shared" si="19"/>
        <v>182</v>
      </c>
      <c r="Y56" s="1">
        <f t="shared" si="20"/>
        <v>455</v>
      </c>
      <c r="Z56" s="7">
        <f t="shared" si="21"/>
        <v>2.5</v>
      </c>
      <c r="AC56" s="23" t="str">
        <f>W50</f>
        <v>Balloon Boy</v>
      </c>
      <c r="AD56" s="26" t="s">
        <v>58</v>
      </c>
    </row>
    <row r="57" spans="1:30" x14ac:dyDescent="0.3">
      <c r="A57" s="44" t="s">
        <v>74</v>
      </c>
      <c r="D57" s="40">
        <v>0</v>
      </c>
      <c r="E57" s="41"/>
      <c r="F57" s="41"/>
      <c r="G57" s="41"/>
      <c r="H57" s="42">
        <v>0</v>
      </c>
      <c r="K57" s="41"/>
      <c r="L57" s="42">
        <v>0</v>
      </c>
      <c r="O57" s="41"/>
      <c r="P57" s="42">
        <v>0</v>
      </c>
      <c r="S57" s="40">
        <v>0</v>
      </c>
      <c r="W57" s="45" t="s">
        <v>45</v>
      </c>
      <c r="X57" s="1">
        <f t="shared" si="19"/>
        <v>195</v>
      </c>
      <c r="Y57" s="1">
        <f t="shared" si="20"/>
        <v>523</v>
      </c>
      <c r="Z57" s="7">
        <f t="shared" si="21"/>
        <v>2.68</v>
      </c>
      <c r="AC57" s="9" t="str">
        <f>W53</f>
        <v>Kelly, Ryan</v>
      </c>
      <c r="AD57" s="14">
        <f t="shared" ref="AD57:AD65" si="22">IF(VLOOKUP(AC57,$W:$Z,2,FALSE)&gt;=100,
    IF(VLOOKUP(AC57,$W:$Z,4,FALSE)&gt;$AD$13,
        IF(VLOOKUP(AC57,$W:$Z,4,FALSE)&gt;=$AD$13+0.5,3,
            IF(VLOOKUP(AC57,$W:$Z,4,FALSE)&gt;=$AD$13+0.25,2,1)
        ),
    0),
0)</f>
        <v>0</v>
      </c>
    </row>
    <row r="58" spans="1:30" x14ac:dyDescent="0.3">
      <c r="A58" s="44" t="s">
        <v>110</v>
      </c>
      <c r="D58" s="40">
        <v>5</v>
      </c>
      <c r="E58" s="41"/>
      <c r="F58" s="41"/>
      <c r="G58" s="41"/>
      <c r="H58" s="42">
        <v>11</v>
      </c>
      <c r="K58" s="41"/>
      <c r="L58" s="46">
        <v>100.71</v>
      </c>
      <c r="O58" s="41"/>
      <c r="P58" s="42">
        <v>2.2000000000000002</v>
      </c>
      <c r="S58" s="47">
        <v>20.14</v>
      </c>
      <c r="V58" s="2"/>
      <c r="W58" s="45" t="s">
        <v>76</v>
      </c>
      <c r="X58" s="1">
        <f t="shared" si="19"/>
        <v>34</v>
      </c>
      <c r="Y58" s="1">
        <f t="shared" si="20"/>
        <v>83</v>
      </c>
      <c r="Z58" s="7">
        <f t="shared" si="21"/>
        <v>2.44</v>
      </c>
      <c r="AC58" s="9" t="str">
        <f>W54</f>
        <v>Isreal, Zeal</v>
      </c>
      <c r="AD58" s="14">
        <f t="shared" si="22"/>
        <v>0</v>
      </c>
    </row>
    <row r="59" spans="1:30" x14ac:dyDescent="0.3">
      <c r="A59" s="44" t="s">
        <v>48</v>
      </c>
      <c r="D59" s="40">
        <v>0</v>
      </c>
      <c r="E59" s="41"/>
      <c r="F59" s="41"/>
      <c r="G59" s="41"/>
      <c r="H59" s="42">
        <v>0</v>
      </c>
      <c r="K59" s="41"/>
      <c r="L59" s="42">
        <v>0</v>
      </c>
      <c r="O59" s="41"/>
      <c r="P59" s="42">
        <v>0</v>
      </c>
      <c r="S59" s="40">
        <v>0</v>
      </c>
      <c r="W59" s="45" t="s">
        <v>84</v>
      </c>
      <c r="X59" s="1">
        <f t="shared" si="19"/>
        <v>54</v>
      </c>
      <c r="Y59" s="1">
        <f t="shared" si="20"/>
        <v>109</v>
      </c>
      <c r="Z59" s="7">
        <f t="shared" si="21"/>
        <v>2.02</v>
      </c>
      <c r="AC59" s="9" t="str">
        <f t="shared" ref="AC59:AC62" si="23">W55</f>
        <v>Lingg, Beckett</v>
      </c>
      <c r="AD59" s="14">
        <f t="shared" si="22"/>
        <v>0</v>
      </c>
    </row>
    <row r="60" spans="1:30" x14ac:dyDescent="0.3">
      <c r="A60" s="44" t="s">
        <v>49</v>
      </c>
      <c r="D60" s="40">
        <v>0</v>
      </c>
      <c r="E60" s="41"/>
      <c r="F60" s="41"/>
      <c r="G60" s="41"/>
      <c r="H60" s="42">
        <v>0</v>
      </c>
      <c r="K60" s="41"/>
      <c r="L60" s="42">
        <v>0</v>
      </c>
      <c r="O60" s="41"/>
      <c r="P60" s="42">
        <v>0</v>
      </c>
      <c r="S60" s="40">
        <v>0</v>
      </c>
      <c r="W60" s="45" t="s">
        <v>77</v>
      </c>
      <c r="X60" s="1">
        <f t="shared" si="19"/>
        <v>259</v>
      </c>
      <c r="Y60" s="1">
        <f t="shared" si="20"/>
        <v>632</v>
      </c>
      <c r="Z60" s="7">
        <f t="shared" si="21"/>
        <v>2.44</v>
      </c>
      <c r="AC60" s="9" t="str">
        <f t="shared" si="23"/>
        <v>McChesney, Jack</v>
      </c>
      <c r="AD60" s="14">
        <f t="shared" si="22"/>
        <v>0</v>
      </c>
    </row>
    <row r="61" spans="1:30" x14ac:dyDescent="0.3">
      <c r="A61" s="44" t="s">
        <v>50</v>
      </c>
      <c r="D61" s="40">
        <v>200</v>
      </c>
      <c r="E61" s="41"/>
      <c r="F61" s="41"/>
      <c r="G61" s="41"/>
      <c r="H61" s="42">
        <v>510</v>
      </c>
      <c r="K61" s="41"/>
      <c r="L61" s="46">
        <v>4670.9799999999996</v>
      </c>
      <c r="O61" s="41"/>
      <c r="P61" s="42">
        <v>2.5499999999999998</v>
      </c>
      <c r="S61" s="47">
        <v>23.35</v>
      </c>
      <c r="V61" s="1" t="s">
        <v>97</v>
      </c>
      <c r="W61" s="45" t="s">
        <v>105</v>
      </c>
      <c r="X61" s="1">
        <f t="shared" si="19"/>
        <v>80</v>
      </c>
      <c r="Y61" s="1">
        <f t="shared" si="20"/>
        <v>228</v>
      </c>
      <c r="Z61" s="7">
        <f t="shared" si="21"/>
        <v>2.85</v>
      </c>
      <c r="AC61" s="9" t="str">
        <f t="shared" si="23"/>
        <v>Perez-Tellez, Damien</v>
      </c>
      <c r="AD61" s="14">
        <f t="shared" si="22"/>
        <v>1</v>
      </c>
    </row>
    <row r="62" spans="1:30" x14ac:dyDescent="0.3">
      <c r="A62" s="44" t="s">
        <v>51</v>
      </c>
      <c r="D62" s="40">
        <v>60</v>
      </c>
      <c r="E62" s="41"/>
      <c r="F62" s="41"/>
      <c r="G62" s="41"/>
      <c r="H62" s="42">
        <v>165</v>
      </c>
      <c r="K62" s="41"/>
      <c r="L62" s="46">
        <v>1554.87</v>
      </c>
      <c r="O62" s="41"/>
      <c r="P62" s="42">
        <v>2.75</v>
      </c>
      <c r="S62" s="47">
        <v>25.91</v>
      </c>
      <c r="W62" s="61" t="s">
        <v>108</v>
      </c>
      <c r="X62" s="11">
        <f t="shared" si="19"/>
        <v>153</v>
      </c>
      <c r="Y62" s="11">
        <f t="shared" si="20"/>
        <v>375</v>
      </c>
      <c r="Z62" s="12">
        <f t="shared" si="21"/>
        <v>2.4500000000000002</v>
      </c>
      <c r="AC62" s="9" t="str">
        <f t="shared" si="23"/>
        <v>Shteyngart, Jenna</v>
      </c>
      <c r="AD62" s="14">
        <f t="shared" si="22"/>
        <v>0</v>
      </c>
    </row>
    <row r="63" spans="1:30" x14ac:dyDescent="0.3">
      <c r="A63" s="44" t="s">
        <v>77</v>
      </c>
      <c r="D63" s="40">
        <v>259</v>
      </c>
      <c r="E63" s="41"/>
      <c r="F63" s="41"/>
      <c r="G63" s="41"/>
      <c r="H63" s="42">
        <v>632</v>
      </c>
      <c r="K63" s="41"/>
      <c r="L63" s="46">
        <v>5785.8</v>
      </c>
      <c r="O63" s="41"/>
      <c r="P63" s="42">
        <v>2.44</v>
      </c>
      <c r="S63" s="47">
        <v>22.34</v>
      </c>
      <c r="AC63" s="9" t="str">
        <f>W59</f>
        <v>Smith, Anders</v>
      </c>
      <c r="AD63" s="14">
        <f t="shared" si="22"/>
        <v>0</v>
      </c>
    </row>
    <row r="64" spans="1:30" x14ac:dyDescent="0.3">
      <c r="W64" s="62" t="s">
        <v>81</v>
      </c>
      <c r="X64" s="64"/>
      <c r="Y64" s="28" t="s">
        <v>7</v>
      </c>
      <c r="Z64" s="4">
        <f>(SUM(Y67:Y75)/SUM(X67:X75))</f>
        <v>2.5578947368421052</v>
      </c>
      <c r="AC64" s="9" t="str">
        <f>W60</f>
        <v>Zinn Krulewitch, Mari</v>
      </c>
      <c r="AD64" s="14">
        <f t="shared" si="22"/>
        <v>0</v>
      </c>
    </row>
    <row r="65" spans="22:30" x14ac:dyDescent="0.3">
      <c r="W65" s="5"/>
      <c r="X65" s="6"/>
      <c r="Z65" s="7"/>
      <c r="AC65" s="9" t="str">
        <f>W62</f>
        <v>Carpenter, Iris</v>
      </c>
      <c r="AD65" s="14">
        <f t="shared" si="22"/>
        <v>0</v>
      </c>
    </row>
    <row r="66" spans="22:30" x14ac:dyDescent="0.3">
      <c r="W66" s="8"/>
      <c r="X66" s="24" t="s">
        <v>52</v>
      </c>
      <c r="Y66" s="24" t="s">
        <v>13</v>
      </c>
      <c r="Z66" s="25" t="s">
        <v>7</v>
      </c>
      <c r="AC66" s="27" t="s">
        <v>66</v>
      </c>
      <c r="AD66" s="16">
        <f>SUM(AD57:AD65)</f>
        <v>1</v>
      </c>
    </row>
    <row r="67" spans="22:30" x14ac:dyDescent="0.3">
      <c r="W67" s="45" t="s">
        <v>42</v>
      </c>
      <c r="X67" s="1">
        <f>VLOOKUP(W67,$A$12:$S$65, 4,FALSE)</f>
        <v>60</v>
      </c>
      <c r="Y67" s="1">
        <f>VLOOKUP(W67,$A$12:$S$65, 8,FALSE)</f>
        <v>145</v>
      </c>
      <c r="Z67" s="7">
        <f>VLOOKUP(W67,$A$12:$S$65, 16,FALSE)</f>
        <v>2.42</v>
      </c>
      <c r="AD67" s="3"/>
    </row>
    <row r="68" spans="22:30" x14ac:dyDescent="0.3">
      <c r="W68" s="45" t="s">
        <v>21</v>
      </c>
      <c r="X68" s="1">
        <f t="shared" ref="X68:X75" si="24">VLOOKUP(W68,$A$12:$S$65, 4,FALSE)</f>
        <v>72</v>
      </c>
      <c r="Y68" s="1">
        <f t="shared" ref="Y68:Y75" si="25">VLOOKUP(W68,$A$12:$S$65, 8,FALSE)</f>
        <v>213</v>
      </c>
      <c r="Z68" s="7">
        <f t="shared" ref="Z68:Z75" si="26">VLOOKUP(W68,$A$12:$S$65, 16,FALSE)</f>
        <v>2.96</v>
      </c>
      <c r="AC68" s="23" t="str">
        <f>W64</f>
        <v>Foxy</v>
      </c>
      <c r="AD68" s="26" t="s">
        <v>58</v>
      </c>
    </row>
    <row r="69" spans="22:30" x14ac:dyDescent="0.3">
      <c r="W69" s="9" t="s">
        <v>26</v>
      </c>
      <c r="X69" s="1">
        <f t="shared" si="24"/>
        <v>0</v>
      </c>
      <c r="Y69" s="1">
        <f t="shared" si="25"/>
        <v>0</v>
      </c>
      <c r="Z69" s="7">
        <f t="shared" si="26"/>
        <v>0</v>
      </c>
      <c r="AC69" s="9" t="str">
        <f>W67</f>
        <v>Mitchell, Gabe</v>
      </c>
      <c r="AD69" s="14">
        <f t="shared" ref="AD69:AD77" si="27">IF(VLOOKUP(AC69,$W:$Z,2,FALSE)&gt;=100,
    IF(VLOOKUP(AC69,$W:$Z,4,FALSE)&gt;$AD$13,
        IF(VLOOKUP(AC69,$W:$Z,4,FALSE)&gt;=$AD$13+0.5,3,
            IF(VLOOKUP(AC69,$W:$Z,4,FALSE)&gt;=$AD$13+0.25,2,1)
        ),
    0),
0)</f>
        <v>0</v>
      </c>
    </row>
    <row r="70" spans="22:30" x14ac:dyDescent="0.3">
      <c r="W70" s="45" t="s">
        <v>82</v>
      </c>
      <c r="X70" s="1">
        <f t="shared" si="24"/>
        <v>74</v>
      </c>
      <c r="Y70" s="1">
        <f t="shared" si="25"/>
        <v>166</v>
      </c>
      <c r="Z70" s="7">
        <f t="shared" si="26"/>
        <v>2.2400000000000002</v>
      </c>
      <c r="AC70" s="9" t="str">
        <f>W68</f>
        <v>Alemayehu, Eyouel</v>
      </c>
      <c r="AD70" s="14">
        <f t="shared" si="27"/>
        <v>0</v>
      </c>
    </row>
    <row r="71" spans="22:30" x14ac:dyDescent="0.3">
      <c r="W71" s="9" t="s">
        <v>38</v>
      </c>
      <c r="X71" s="1">
        <f t="shared" si="24"/>
        <v>34</v>
      </c>
      <c r="Y71" s="1">
        <f t="shared" si="25"/>
        <v>105</v>
      </c>
      <c r="Z71" s="7">
        <f t="shared" si="26"/>
        <v>3.09</v>
      </c>
      <c r="AC71" s="9" t="str">
        <f t="shared" ref="AC71:AC77" si="28">W69</f>
        <v>Delelu, Samra</v>
      </c>
      <c r="AD71" s="14">
        <f t="shared" si="27"/>
        <v>0</v>
      </c>
    </row>
    <row r="72" spans="22:30" x14ac:dyDescent="0.3">
      <c r="W72" s="9" t="s">
        <v>47</v>
      </c>
      <c r="X72" s="1">
        <f t="shared" si="24"/>
        <v>220</v>
      </c>
      <c r="Y72" s="1">
        <f t="shared" si="25"/>
        <v>548</v>
      </c>
      <c r="Z72" s="7">
        <f t="shared" si="26"/>
        <v>2.4900000000000002</v>
      </c>
      <c r="AC72" s="9" t="str">
        <f t="shared" si="28"/>
        <v>Krause, Daniel</v>
      </c>
      <c r="AD72" s="14">
        <f t="shared" si="27"/>
        <v>0</v>
      </c>
    </row>
    <row r="73" spans="22:30" x14ac:dyDescent="0.3">
      <c r="V73" s="1" t="s">
        <v>98</v>
      </c>
      <c r="W73" s="45" t="s">
        <v>49</v>
      </c>
      <c r="X73" s="1">
        <f t="shared" si="24"/>
        <v>0</v>
      </c>
      <c r="Y73" s="1">
        <f t="shared" si="25"/>
        <v>0</v>
      </c>
      <c r="Z73" s="7">
        <f t="shared" si="26"/>
        <v>0</v>
      </c>
      <c r="AC73" s="9" t="str">
        <f t="shared" si="28"/>
        <v>Lopez, Matthew</v>
      </c>
      <c r="AD73" s="14">
        <f t="shared" si="27"/>
        <v>0</v>
      </c>
    </row>
    <row r="74" spans="22:30" x14ac:dyDescent="0.3">
      <c r="V74" s="1" t="s">
        <v>99</v>
      </c>
      <c r="W74" s="45" t="s">
        <v>109</v>
      </c>
      <c r="X74" s="1">
        <f t="shared" si="24"/>
        <v>15</v>
      </c>
      <c r="Y74" s="1">
        <f t="shared" si="25"/>
        <v>38</v>
      </c>
      <c r="Z74" s="7">
        <f t="shared" si="26"/>
        <v>2.5299999999999998</v>
      </c>
      <c r="AC74" s="9" t="str">
        <f t="shared" si="28"/>
        <v>Santaella, Adriana</v>
      </c>
      <c r="AD74" s="14">
        <f t="shared" si="27"/>
        <v>0</v>
      </c>
    </row>
    <row r="75" spans="22:30" x14ac:dyDescent="0.3">
      <c r="W75" s="61" t="s">
        <v>116</v>
      </c>
      <c r="X75" s="11">
        <f t="shared" si="24"/>
        <v>0</v>
      </c>
      <c r="Y75" s="11">
        <f t="shared" si="25"/>
        <v>0</v>
      </c>
      <c r="Z75" s="12">
        <f t="shared" si="26"/>
        <v>0</v>
      </c>
      <c r="AC75" s="9" t="str">
        <f t="shared" si="28"/>
        <v xml:space="preserve">Woodke, Jeralyn </v>
      </c>
      <c r="AD75" s="14">
        <f t="shared" si="27"/>
        <v>0</v>
      </c>
    </row>
    <row r="76" spans="22:30" x14ac:dyDescent="0.3">
      <c r="AC76" s="9" t="str">
        <f t="shared" si="28"/>
        <v>Mead, Emily</v>
      </c>
      <c r="AD76" s="14">
        <f t="shared" si="27"/>
        <v>0</v>
      </c>
    </row>
    <row r="77" spans="22:30" x14ac:dyDescent="0.3">
      <c r="AC77" s="9" t="str">
        <f t="shared" si="28"/>
        <v>Parshall, Cameron</v>
      </c>
      <c r="AD77" s="14">
        <f t="shared" si="27"/>
        <v>0</v>
      </c>
    </row>
    <row r="78" spans="22:30" x14ac:dyDescent="0.3">
      <c r="AC78" s="27" t="s">
        <v>66</v>
      </c>
      <c r="AD78" s="16">
        <f>SUM(AD69:AD77)</f>
        <v>0</v>
      </c>
    </row>
  </sheetData>
  <mergeCells count="11">
    <mergeCell ref="W22:X22"/>
    <mergeCell ref="AG30:AH30"/>
    <mergeCell ref="W36:X36"/>
    <mergeCell ref="W50:X50"/>
    <mergeCell ref="W64:X64"/>
    <mergeCell ref="AG21:AH21"/>
    <mergeCell ref="AG7:AH7"/>
    <mergeCell ref="AK7:AP7"/>
    <mergeCell ref="W8:X8"/>
    <mergeCell ref="AG13:AH13"/>
    <mergeCell ref="AM15:AN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Week 1</vt:lpstr>
      <vt:lpstr>Week 2</vt:lpstr>
      <vt:lpstr>Week 3</vt:lpstr>
      <vt:lpstr>Week 4</vt:lpstr>
      <vt:lpstr>Week 5</vt:lpstr>
      <vt:lpstr>Week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Ebony Lopez</dc:creator>
  <cp:lastModifiedBy>Ebony L Lopez</cp:lastModifiedBy>
  <dcterms:created xsi:type="dcterms:W3CDTF">2025-09-17T01:15:35Z</dcterms:created>
  <dcterms:modified xsi:type="dcterms:W3CDTF">2026-06-22T01:12:19Z</dcterms:modified>
</cp:coreProperties>
</file>